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75" windowWidth="16515" windowHeight="5955" tabRatio="761" activeTab="3"/>
  </bookViews>
  <sheets>
    <sheet name="bus" sheetId="1" r:id="rId1"/>
    <sheet name="txc" sheetId="2" r:id="rId2"/>
    <sheet name="mer" sheetId="3" r:id="rId3"/>
    <sheet name="Resumen" sheetId="14" r:id="rId4"/>
  </sheets>
  <externalReferences>
    <externalReference r:id="rId5"/>
    <externalReference r:id="rId6"/>
    <externalReference r:id="rId7"/>
    <externalReference r:id="rId8"/>
    <externalReference r:id="rId9"/>
  </externalReferences>
  <calcPr calcId="145621"/>
</workbook>
</file>

<file path=xl/calcChain.xml><?xml version="1.0" encoding="utf-8"?>
<calcChain xmlns="http://schemas.openxmlformats.org/spreadsheetml/2006/main">
  <c r="K4" i="2" l="1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" i="2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3" i="1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" i="2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3" i="1"/>
  <c r="E3" i="14" l="1"/>
  <c r="G6" i="14"/>
  <c r="F6" i="14"/>
  <c r="D18" i="14"/>
  <c r="D25" i="14" s="1"/>
  <c r="D16" i="14" l="1"/>
  <c r="D15" i="14"/>
  <c r="G3" i="14"/>
  <c r="H23" i="14" s="1"/>
  <c r="H3" i="14"/>
  <c r="G4" i="14"/>
  <c r="H24" i="14" s="1"/>
  <c r="H4" i="14"/>
  <c r="G5" i="14"/>
  <c r="H5" i="14"/>
  <c r="H25" i="14"/>
  <c r="H6" i="14"/>
  <c r="D24" i="14" l="1"/>
  <c r="D23" i="14"/>
  <c r="F3" i="14"/>
  <c r="G23" i="14" s="1"/>
  <c r="F4" i="14"/>
  <c r="G24" i="14" s="1"/>
  <c r="F5" i="14"/>
  <c r="G25" i="14"/>
  <c r="D4" i="14" l="1"/>
  <c r="E24" i="14" s="1"/>
  <c r="D6" i="14"/>
  <c r="E25" i="14" s="1"/>
  <c r="D5" i="14"/>
  <c r="D3" i="14" l="1"/>
  <c r="E6" i="14"/>
  <c r="F25" i="14" s="1"/>
  <c r="E4" i="14"/>
  <c r="F24" i="14" s="1"/>
  <c r="E5" i="14"/>
  <c r="E23" i="14" l="1"/>
  <c r="F23" i="14"/>
</calcChain>
</file>

<file path=xl/sharedStrings.xml><?xml version="1.0" encoding="utf-8"?>
<sst xmlns="http://schemas.openxmlformats.org/spreadsheetml/2006/main" count="53" uniqueCount="23">
  <si>
    <t>LINEA</t>
  </si>
  <si>
    <t>FLOTA</t>
  </si>
  <si>
    <t>am1</t>
  </si>
  <si>
    <t>am2</t>
  </si>
  <si>
    <t>fp</t>
  </si>
  <si>
    <t>pt1</t>
  </si>
  <si>
    <t>pt2</t>
  </si>
  <si>
    <t>AM1</t>
  </si>
  <si>
    <t>AM2</t>
  </si>
  <si>
    <t>FP</t>
  </si>
  <si>
    <t>PT1</t>
  </si>
  <si>
    <t>PT2</t>
  </si>
  <si>
    <t>Flota Buses</t>
  </si>
  <si>
    <t>Flota Trole</t>
  </si>
  <si>
    <t>Flota Ascensor</t>
  </si>
  <si>
    <t>Flota TXC</t>
  </si>
  <si>
    <t>Trole</t>
  </si>
  <si>
    <t>TXC</t>
  </si>
  <si>
    <t>PT</t>
  </si>
  <si>
    <t>Tipo de Vehículo</t>
  </si>
  <si>
    <t>Bus</t>
  </si>
  <si>
    <t>Flota Catastrada (veh)</t>
  </si>
  <si>
    <t>Flota Modelada (veh)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</si>
</sst>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1" fillId="0" borderId="0" xfId="0" applyFont="1"/>
    <xf numFmtId="1" fontId="2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0" fontId="3" fillId="0" borderId="0" xfId="0" applyNumberFormat="1" applyFont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alam/flota_lineas_tp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valfp/flota_lineas_tp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valpt/flota_lineas_t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TU_JOV/STU_Valpo/TERRENO/Catastros%20TP/1%20Buses%20urbanos/Catastro_taxibuses_urbano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TU_JOV/STU_Valpo/TERRENO/Catastros%20TP/4%20TXC%20urbanos/EMPRESAS_TX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ota_lineas_tp"/>
    </sheetNames>
    <sheetDataSet>
      <sheetData sheetId="0">
        <row r="1">
          <cell r="B1" t="str">
            <v>h1</v>
          </cell>
          <cell r="D1" t="str">
            <v>Horar</v>
          </cell>
          <cell r="E1" t="str">
            <v>i</v>
          </cell>
          <cell r="F1" t="str">
            <v>o :1</v>
          </cell>
        </row>
        <row r="2">
          <cell r="A2" t="str">
            <v>h1-bus-MODO:</v>
          </cell>
          <cell r="B2" t="str">
            <v>h1</v>
          </cell>
          <cell r="C2" t="str">
            <v>bus</v>
          </cell>
          <cell r="D2" t="str">
            <v>MODO:</v>
          </cell>
          <cell r="F2" t="str">
            <v>bus</v>
          </cell>
        </row>
        <row r="3">
          <cell r="A3" t="str">
            <v>h1-bus-LINEA</v>
          </cell>
          <cell r="B3" t="str">
            <v>h1</v>
          </cell>
          <cell r="C3" t="str">
            <v>bus</v>
          </cell>
          <cell r="D3" t="str">
            <v>LINEA</v>
          </cell>
          <cell r="E3" t="str">
            <v xml:space="preserve">	</v>
          </cell>
          <cell r="F3" t="str">
            <v>FLOTA</v>
          </cell>
        </row>
        <row r="4">
          <cell r="A4" t="str">
            <v>h1-bus-1011</v>
          </cell>
          <cell r="B4" t="str">
            <v>h1</v>
          </cell>
          <cell r="C4" t="str">
            <v>bus</v>
          </cell>
          <cell r="D4">
            <v>1011</v>
          </cell>
          <cell r="E4" t="str">
            <v xml:space="preserve">	</v>
          </cell>
          <cell r="F4">
            <v>12.15</v>
          </cell>
        </row>
        <row r="5">
          <cell r="A5" t="str">
            <v>h1-bus-1012</v>
          </cell>
          <cell r="B5" t="str">
            <v>h1</v>
          </cell>
          <cell r="C5" t="str">
            <v>bus</v>
          </cell>
          <cell r="D5">
            <v>1012</v>
          </cell>
          <cell r="E5" t="str">
            <v xml:space="preserve">	</v>
          </cell>
          <cell r="F5">
            <v>3.78</v>
          </cell>
        </row>
        <row r="6">
          <cell r="A6" t="str">
            <v>h1-bus-1021</v>
          </cell>
          <cell r="B6" t="str">
            <v>h1</v>
          </cell>
          <cell r="C6" t="str">
            <v>bus</v>
          </cell>
          <cell r="D6">
            <v>1021</v>
          </cell>
          <cell r="E6" t="str">
            <v xml:space="preserve">	</v>
          </cell>
          <cell r="F6">
            <v>10.85</v>
          </cell>
        </row>
        <row r="7">
          <cell r="A7" t="str">
            <v>h1-bus-1022</v>
          </cell>
          <cell r="B7" t="str">
            <v>h1</v>
          </cell>
          <cell r="C7" t="str">
            <v>bus</v>
          </cell>
          <cell r="D7">
            <v>1022</v>
          </cell>
          <cell r="E7" t="str">
            <v xml:space="preserve">	</v>
          </cell>
          <cell r="F7">
            <v>3.84</v>
          </cell>
        </row>
        <row r="8">
          <cell r="A8" t="str">
            <v>h1-bus-1031</v>
          </cell>
          <cell r="B8" t="str">
            <v>h1</v>
          </cell>
          <cell r="C8" t="str">
            <v>bus</v>
          </cell>
          <cell r="D8">
            <v>1031</v>
          </cell>
          <cell r="E8" t="str">
            <v xml:space="preserve">	</v>
          </cell>
          <cell r="F8">
            <v>8.85</v>
          </cell>
        </row>
        <row r="9">
          <cell r="A9" t="str">
            <v>h1-bus-1032</v>
          </cell>
          <cell r="B9" t="str">
            <v>h1</v>
          </cell>
          <cell r="C9" t="str">
            <v>bus</v>
          </cell>
          <cell r="D9">
            <v>1032</v>
          </cell>
          <cell r="E9" t="str">
            <v xml:space="preserve">	</v>
          </cell>
          <cell r="F9">
            <v>3.02</v>
          </cell>
        </row>
        <row r="10">
          <cell r="A10" t="str">
            <v>h1-bus-1041</v>
          </cell>
          <cell r="B10" t="str">
            <v>h1</v>
          </cell>
          <cell r="C10" t="str">
            <v>bus</v>
          </cell>
          <cell r="D10">
            <v>1041</v>
          </cell>
          <cell r="E10" t="str">
            <v xml:space="preserve">	</v>
          </cell>
          <cell r="F10">
            <v>4.1500000000000004</v>
          </cell>
        </row>
        <row r="11">
          <cell r="A11" t="str">
            <v>h1-bus-1042</v>
          </cell>
          <cell r="B11" t="str">
            <v>h1</v>
          </cell>
          <cell r="C11" t="str">
            <v>bus</v>
          </cell>
          <cell r="D11">
            <v>1042</v>
          </cell>
          <cell r="E11" t="str">
            <v xml:space="preserve">	</v>
          </cell>
          <cell r="F11">
            <v>3.63</v>
          </cell>
        </row>
        <row r="12">
          <cell r="A12" t="str">
            <v>h1-bus-1051</v>
          </cell>
          <cell r="B12" t="str">
            <v>h1</v>
          </cell>
          <cell r="C12" t="str">
            <v>bus</v>
          </cell>
          <cell r="D12">
            <v>1051</v>
          </cell>
          <cell r="E12" t="str">
            <v xml:space="preserve">	</v>
          </cell>
          <cell r="F12">
            <v>7.99</v>
          </cell>
        </row>
        <row r="13">
          <cell r="A13" t="str">
            <v>h1-bus-1052</v>
          </cell>
          <cell r="B13" t="str">
            <v>h1</v>
          </cell>
          <cell r="C13" t="str">
            <v>bus</v>
          </cell>
          <cell r="D13">
            <v>1052</v>
          </cell>
          <cell r="E13" t="str">
            <v xml:space="preserve">	</v>
          </cell>
          <cell r="F13">
            <v>3.08</v>
          </cell>
        </row>
        <row r="14">
          <cell r="A14" t="str">
            <v>h1-bus-1061</v>
          </cell>
          <cell r="B14" t="str">
            <v>h1</v>
          </cell>
          <cell r="C14" t="str">
            <v>bus</v>
          </cell>
          <cell r="D14">
            <v>1061</v>
          </cell>
          <cell r="E14" t="str">
            <v xml:space="preserve">	</v>
          </cell>
          <cell r="F14">
            <v>7.58</v>
          </cell>
        </row>
        <row r="15">
          <cell r="A15" t="str">
            <v>h1-bus-1062</v>
          </cell>
          <cell r="B15" t="str">
            <v>h1</v>
          </cell>
          <cell r="C15" t="str">
            <v>bus</v>
          </cell>
          <cell r="D15">
            <v>1062</v>
          </cell>
          <cell r="E15" t="str">
            <v xml:space="preserve">	</v>
          </cell>
          <cell r="F15">
            <v>4.0199999999999996</v>
          </cell>
        </row>
        <row r="16">
          <cell r="A16" t="str">
            <v>h1-bus-1071</v>
          </cell>
          <cell r="B16" t="str">
            <v>h1</v>
          </cell>
          <cell r="C16" t="str">
            <v>bus</v>
          </cell>
          <cell r="D16">
            <v>1071</v>
          </cell>
          <cell r="E16" t="str">
            <v xml:space="preserve">	</v>
          </cell>
          <cell r="F16">
            <v>8.14</v>
          </cell>
        </row>
        <row r="17">
          <cell r="A17" t="str">
            <v>h1-bus-1072</v>
          </cell>
          <cell r="B17" t="str">
            <v>h1</v>
          </cell>
          <cell r="C17" t="str">
            <v>bus</v>
          </cell>
          <cell r="D17">
            <v>1072</v>
          </cell>
          <cell r="E17" t="str">
            <v xml:space="preserve">	</v>
          </cell>
          <cell r="F17">
            <v>4.29</v>
          </cell>
        </row>
        <row r="18">
          <cell r="A18" t="str">
            <v>h1-bus-1081</v>
          </cell>
          <cell r="B18" t="str">
            <v>h1</v>
          </cell>
          <cell r="C18" t="str">
            <v>bus</v>
          </cell>
          <cell r="D18">
            <v>1081</v>
          </cell>
          <cell r="E18" t="str">
            <v xml:space="preserve">	</v>
          </cell>
          <cell r="F18">
            <v>4.17</v>
          </cell>
        </row>
        <row r="19">
          <cell r="A19" t="str">
            <v>h1-bus-1082</v>
          </cell>
          <cell r="B19" t="str">
            <v>h1</v>
          </cell>
          <cell r="C19" t="str">
            <v>bus</v>
          </cell>
          <cell r="D19">
            <v>1082</v>
          </cell>
          <cell r="E19" t="str">
            <v xml:space="preserve">	</v>
          </cell>
          <cell r="F19">
            <v>2.6</v>
          </cell>
        </row>
        <row r="20">
          <cell r="A20" t="str">
            <v>h1-bus-1091</v>
          </cell>
          <cell r="B20" t="str">
            <v>h1</v>
          </cell>
          <cell r="C20" t="str">
            <v>bus</v>
          </cell>
          <cell r="D20">
            <v>1091</v>
          </cell>
          <cell r="E20" t="str">
            <v xml:space="preserve">	</v>
          </cell>
          <cell r="F20">
            <v>12.55</v>
          </cell>
        </row>
        <row r="21">
          <cell r="A21" t="str">
            <v>h1-bus-1092</v>
          </cell>
          <cell r="B21" t="str">
            <v>h1</v>
          </cell>
          <cell r="C21" t="str">
            <v>bus</v>
          </cell>
          <cell r="D21">
            <v>1092</v>
          </cell>
          <cell r="E21" t="str">
            <v xml:space="preserve">	</v>
          </cell>
          <cell r="F21">
            <v>3.22</v>
          </cell>
        </row>
        <row r="22">
          <cell r="A22" t="str">
            <v>h1-bus-1101</v>
          </cell>
          <cell r="B22" t="str">
            <v>h1</v>
          </cell>
          <cell r="C22" t="str">
            <v>bus</v>
          </cell>
          <cell r="D22">
            <v>1101</v>
          </cell>
          <cell r="E22" t="str">
            <v xml:space="preserve">	</v>
          </cell>
          <cell r="F22">
            <v>4.91</v>
          </cell>
        </row>
        <row r="23">
          <cell r="A23" t="str">
            <v>h1-bus-1102</v>
          </cell>
          <cell r="B23" t="str">
            <v>h1</v>
          </cell>
          <cell r="C23" t="str">
            <v>bus</v>
          </cell>
          <cell r="D23">
            <v>1102</v>
          </cell>
          <cell r="E23" t="str">
            <v xml:space="preserve">	</v>
          </cell>
          <cell r="F23">
            <v>1.71</v>
          </cell>
        </row>
        <row r="24">
          <cell r="A24" t="str">
            <v>h1-bus-1111</v>
          </cell>
          <cell r="B24" t="str">
            <v>h1</v>
          </cell>
          <cell r="C24" t="str">
            <v>bus</v>
          </cell>
          <cell r="D24">
            <v>1111</v>
          </cell>
          <cell r="E24" t="str">
            <v xml:space="preserve">	</v>
          </cell>
          <cell r="F24">
            <v>3.95</v>
          </cell>
        </row>
        <row r="25">
          <cell r="A25" t="str">
            <v>h1-bus-1112</v>
          </cell>
          <cell r="B25" t="str">
            <v>h1</v>
          </cell>
          <cell r="C25" t="str">
            <v>bus</v>
          </cell>
          <cell r="D25">
            <v>1112</v>
          </cell>
          <cell r="E25" t="str">
            <v xml:space="preserve">	</v>
          </cell>
          <cell r="F25">
            <v>1.98</v>
          </cell>
        </row>
        <row r="26">
          <cell r="A26" t="str">
            <v>h1-bus-1121</v>
          </cell>
          <cell r="B26" t="str">
            <v>h1</v>
          </cell>
          <cell r="C26" t="str">
            <v>bus</v>
          </cell>
          <cell r="D26">
            <v>1121</v>
          </cell>
          <cell r="E26" t="str">
            <v xml:space="preserve">	</v>
          </cell>
          <cell r="F26">
            <v>8.4499999999999993</v>
          </cell>
        </row>
        <row r="27">
          <cell r="A27" t="str">
            <v>h1-bus-1122</v>
          </cell>
          <cell r="B27" t="str">
            <v>h1</v>
          </cell>
          <cell r="C27" t="str">
            <v>bus</v>
          </cell>
          <cell r="D27">
            <v>1122</v>
          </cell>
          <cell r="E27" t="str">
            <v xml:space="preserve">	</v>
          </cell>
          <cell r="F27">
            <v>2.78</v>
          </cell>
        </row>
        <row r="28">
          <cell r="A28" t="str">
            <v>h1-bus-1131</v>
          </cell>
          <cell r="B28" t="str">
            <v>h1</v>
          </cell>
          <cell r="C28" t="str">
            <v>bus</v>
          </cell>
          <cell r="D28">
            <v>1131</v>
          </cell>
          <cell r="E28" t="str">
            <v xml:space="preserve">	</v>
          </cell>
          <cell r="F28">
            <v>8.1999999999999993</v>
          </cell>
        </row>
        <row r="29">
          <cell r="A29" t="str">
            <v>h1-bus-1132</v>
          </cell>
          <cell r="B29" t="str">
            <v>h1</v>
          </cell>
          <cell r="C29" t="str">
            <v>bus</v>
          </cell>
          <cell r="D29">
            <v>1132</v>
          </cell>
          <cell r="E29" t="str">
            <v xml:space="preserve">	</v>
          </cell>
          <cell r="F29">
            <v>3.2</v>
          </cell>
        </row>
        <row r="30">
          <cell r="A30" t="str">
            <v>h1-bus-1141</v>
          </cell>
          <cell r="B30" t="str">
            <v>h1</v>
          </cell>
          <cell r="C30" t="str">
            <v>bus</v>
          </cell>
          <cell r="D30">
            <v>1141</v>
          </cell>
          <cell r="E30" t="str">
            <v xml:space="preserve">	</v>
          </cell>
          <cell r="F30">
            <v>7.88</v>
          </cell>
        </row>
        <row r="31">
          <cell r="A31" t="str">
            <v>h1-bus-1142</v>
          </cell>
          <cell r="B31" t="str">
            <v>h1</v>
          </cell>
          <cell r="C31" t="str">
            <v>bus</v>
          </cell>
          <cell r="D31">
            <v>1142</v>
          </cell>
          <cell r="E31" t="str">
            <v xml:space="preserve">	</v>
          </cell>
          <cell r="F31">
            <v>4.16</v>
          </cell>
        </row>
        <row r="32">
          <cell r="A32" t="str">
            <v>h1-bus-1151</v>
          </cell>
          <cell r="B32" t="str">
            <v>h1</v>
          </cell>
          <cell r="C32" t="str">
            <v>bus</v>
          </cell>
          <cell r="D32">
            <v>1151</v>
          </cell>
          <cell r="E32" t="str">
            <v xml:space="preserve">	</v>
          </cell>
          <cell r="F32">
            <v>7.74</v>
          </cell>
        </row>
        <row r="33">
          <cell r="A33" t="str">
            <v>h1-bus-1152</v>
          </cell>
          <cell r="B33" t="str">
            <v>h1</v>
          </cell>
          <cell r="C33" t="str">
            <v>bus</v>
          </cell>
          <cell r="D33">
            <v>1152</v>
          </cell>
          <cell r="E33" t="str">
            <v xml:space="preserve">	</v>
          </cell>
          <cell r="F33">
            <v>2.68</v>
          </cell>
        </row>
        <row r="34">
          <cell r="A34" t="str">
            <v>h1-bus-1161</v>
          </cell>
          <cell r="B34" t="str">
            <v>h1</v>
          </cell>
          <cell r="C34" t="str">
            <v>bus</v>
          </cell>
          <cell r="D34">
            <v>1161</v>
          </cell>
          <cell r="E34" t="str">
            <v xml:space="preserve">	</v>
          </cell>
          <cell r="F34">
            <v>1.45</v>
          </cell>
        </row>
        <row r="35">
          <cell r="A35" t="str">
            <v>h1-bus-1162</v>
          </cell>
          <cell r="B35" t="str">
            <v>h1</v>
          </cell>
          <cell r="C35" t="str">
            <v>bus</v>
          </cell>
          <cell r="D35">
            <v>1162</v>
          </cell>
          <cell r="E35" t="str">
            <v xml:space="preserve">	</v>
          </cell>
          <cell r="F35">
            <v>1.88</v>
          </cell>
        </row>
        <row r="36">
          <cell r="A36" t="str">
            <v>h1-bus-1171</v>
          </cell>
          <cell r="B36" t="str">
            <v>h1</v>
          </cell>
          <cell r="C36" t="str">
            <v>bus</v>
          </cell>
          <cell r="D36">
            <v>1171</v>
          </cell>
          <cell r="E36" t="str">
            <v xml:space="preserve">	</v>
          </cell>
          <cell r="F36">
            <v>0.3</v>
          </cell>
        </row>
        <row r="37">
          <cell r="A37" t="str">
            <v>h1-bus-1172</v>
          </cell>
          <cell r="B37" t="str">
            <v>h1</v>
          </cell>
          <cell r="C37" t="str">
            <v>bus</v>
          </cell>
          <cell r="D37">
            <v>1172</v>
          </cell>
          <cell r="E37" t="str">
            <v xml:space="preserve">	</v>
          </cell>
          <cell r="F37">
            <v>0.27</v>
          </cell>
        </row>
        <row r="38">
          <cell r="A38" t="str">
            <v>h1-bus-1191</v>
          </cell>
          <cell r="B38" t="str">
            <v>h1</v>
          </cell>
          <cell r="C38" t="str">
            <v>bus</v>
          </cell>
          <cell r="D38">
            <v>1191</v>
          </cell>
          <cell r="E38" t="str">
            <v xml:space="preserve">	</v>
          </cell>
          <cell r="F38">
            <v>2.87</v>
          </cell>
        </row>
        <row r="39">
          <cell r="A39" t="str">
            <v>h1-bus-1192</v>
          </cell>
          <cell r="B39" t="str">
            <v>h1</v>
          </cell>
          <cell r="C39" t="str">
            <v>bus</v>
          </cell>
          <cell r="D39">
            <v>1192</v>
          </cell>
          <cell r="E39" t="str">
            <v xml:space="preserve">	</v>
          </cell>
          <cell r="F39">
            <v>4.21</v>
          </cell>
        </row>
        <row r="40">
          <cell r="A40" t="str">
            <v>h1-bus-1201</v>
          </cell>
          <cell r="B40" t="str">
            <v>h1</v>
          </cell>
          <cell r="C40" t="str">
            <v>bus</v>
          </cell>
          <cell r="D40">
            <v>1201</v>
          </cell>
          <cell r="E40" t="str">
            <v xml:space="preserve">	</v>
          </cell>
          <cell r="F40">
            <v>0.61</v>
          </cell>
        </row>
        <row r="41">
          <cell r="A41" t="str">
            <v>h1-bus-1202</v>
          </cell>
          <cell r="B41" t="str">
            <v>h1</v>
          </cell>
          <cell r="C41" t="str">
            <v>bus</v>
          </cell>
          <cell r="D41">
            <v>1202</v>
          </cell>
          <cell r="E41" t="str">
            <v xml:space="preserve">	</v>
          </cell>
          <cell r="F41">
            <v>0.24</v>
          </cell>
        </row>
        <row r="42">
          <cell r="A42" t="str">
            <v>h1-bus-1211</v>
          </cell>
          <cell r="B42" t="str">
            <v>h1</v>
          </cell>
          <cell r="C42" t="str">
            <v>bus</v>
          </cell>
          <cell r="D42">
            <v>1211</v>
          </cell>
          <cell r="E42" t="str">
            <v xml:space="preserve">	</v>
          </cell>
          <cell r="F42">
            <v>1.08</v>
          </cell>
        </row>
        <row r="43">
          <cell r="A43" t="str">
            <v>h1-bus-1212</v>
          </cell>
          <cell r="B43" t="str">
            <v>h1</v>
          </cell>
          <cell r="C43" t="str">
            <v>bus</v>
          </cell>
          <cell r="D43">
            <v>1212</v>
          </cell>
          <cell r="E43" t="str">
            <v xml:space="preserve">	</v>
          </cell>
          <cell r="F43">
            <v>0.2</v>
          </cell>
        </row>
        <row r="44">
          <cell r="A44" t="str">
            <v>h1-bus-1221</v>
          </cell>
          <cell r="B44" t="str">
            <v>h1</v>
          </cell>
          <cell r="C44" t="str">
            <v>bus</v>
          </cell>
          <cell r="D44">
            <v>1221</v>
          </cell>
          <cell r="E44" t="str">
            <v xml:space="preserve">	</v>
          </cell>
          <cell r="F44">
            <v>3.92</v>
          </cell>
        </row>
        <row r="45">
          <cell r="A45" t="str">
            <v>h1-bus-1222</v>
          </cell>
          <cell r="B45" t="str">
            <v>h1</v>
          </cell>
          <cell r="C45" t="str">
            <v>bus</v>
          </cell>
          <cell r="D45">
            <v>1222</v>
          </cell>
          <cell r="E45" t="str">
            <v xml:space="preserve">	</v>
          </cell>
          <cell r="F45">
            <v>3.12</v>
          </cell>
        </row>
        <row r="46">
          <cell r="A46" t="str">
            <v>h1-bus-1251</v>
          </cell>
          <cell r="B46" t="str">
            <v>h1</v>
          </cell>
          <cell r="C46" t="str">
            <v>bus</v>
          </cell>
          <cell r="D46">
            <v>1251</v>
          </cell>
          <cell r="E46" t="str">
            <v xml:space="preserve">	</v>
          </cell>
          <cell r="F46">
            <v>2</v>
          </cell>
        </row>
        <row r="47">
          <cell r="A47" t="str">
            <v>h1-bus-1252</v>
          </cell>
          <cell r="B47" t="str">
            <v>h1</v>
          </cell>
          <cell r="C47" t="str">
            <v>bus</v>
          </cell>
          <cell r="D47">
            <v>1252</v>
          </cell>
          <cell r="E47" t="str">
            <v xml:space="preserve">	</v>
          </cell>
          <cell r="F47">
            <v>1.61</v>
          </cell>
        </row>
        <row r="48">
          <cell r="A48" t="str">
            <v>h1-bus-1261</v>
          </cell>
          <cell r="B48" t="str">
            <v>h1</v>
          </cell>
          <cell r="C48" t="str">
            <v>bus</v>
          </cell>
          <cell r="D48">
            <v>1261</v>
          </cell>
          <cell r="E48" t="str">
            <v xml:space="preserve">	</v>
          </cell>
          <cell r="F48">
            <v>0.25</v>
          </cell>
        </row>
        <row r="49">
          <cell r="A49" t="str">
            <v>h1-bus-1262</v>
          </cell>
          <cell r="B49" t="str">
            <v>h1</v>
          </cell>
          <cell r="C49" t="str">
            <v>bus</v>
          </cell>
          <cell r="D49">
            <v>1262</v>
          </cell>
          <cell r="E49" t="str">
            <v xml:space="preserve">	</v>
          </cell>
          <cell r="F49">
            <v>0.24</v>
          </cell>
        </row>
        <row r="50">
          <cell r="A50" t="str">
            <v>h1-bus-2011</v>
          </cell>
          <cell r="B50" t="str">
            <v>h1</v>
          </cell>
          <cell r="C50" t="str">
            <v>bus</v>
          </cell>
          <cell r="D50">
            <v>2011</v>
          </cell>
          <cell r="E50" t="str">
            <v xml:space="preserve">	</v>
          </cell>
          <cell r="F50">
            <v>8.5500000000000007</v>
          </cell>
        </row>
        <row r="51">
          <cell r="A51" t="str">
            <v>h1-bus-2012</v>
          </cell>
          <cell r="B51" t="str">
            <v>h1</v>
          </cell>
          <cell r="C51" t="str">
            <v>bus</v>
          </cell>
          <cell r="D51">
            <v>2012</v>
          </cell>
          <cell r="E51" t="str">
            <v xml:space="preserve">	</v>
          </cell>
          <cell r="F51">
            <v>4.76</v>
          </cell>
        </row>
        <row r="52">
          <cell r="A52" t="str">
            <v>h1-bus-2021</v>
          </cell>
          <cell r="B52" t="str">
            <v>h1</v>
          </cell>
          <cell r="C52" t="str">
            <v>bus</v>
          </cell>
          <cell r="D52">
            <v>2021</v>
          </cell>
          <cell r="E52" t="str">
            <v xml:space="preserve">	</v>
          </cell>
          <cell r="F52">
            <v>5.18</v>
          </cell>
        </row>
        <row r="53">
          <cell r="A53" t="str">
            <v>h1-bus-2022</v>
          </cell>
          <cell r="B53" t="str">
            <v>h1</v>
          </cell>
          <cell r="C53" t="str">
            <v>bus</v>
          </cell>
          <cell r="D53">
            <v>2022</v>
          </cell>
          <cell r="E53" t="str">
            <v xml:space="preserve">	</v>
          </cell>
          <cell r="F53">
            <v>2.42</v>
          </cell>
        </row>
        <row r="54">
          <cell r="A54" t="str">
            <v>h1-bus-2031</v>
          </cell>
          <cell r="B54" t="str">
            <v>h1</v>
          </cell>
          <cell r="C54" t="str">
            <v>bus</v>
          </cell>
          <cell r="D54">
            <v>2031</v>
          </cell>
          <cell r="E54" t="str">
            <v xml:space="preserve">	</v>
          </cell>
          <cell r="F54">
            <v>3.75</v>
          </cell>
        </row>
        <row r="55">
          <cell r="A55" t="str">
            <v>h1-bus-2032</v>
          </cell>
          <cell r="B55" t="str">
            <v>h1</v>
          </cell>
          <cell r="C55" t="str">
            <v>bus</v>
          </cell>
          <cell r="D55">
            <v>2032</v>
          </cell>
          <cell r="E55" t="str">
            <v xml:space="preserve">	</v>
          </cell>
          <cell r="F55">
            <v>3.76</v>
          </cell>
        </row>
        <row r="56">
          <cell r="A56" t="str">
            <v>h1-bus-2041</v>
          </cell>
          <cell r="B56" t="str">
            <v>h1</v>
          </cell>
          <cell r="C56" t="str">
            <v>bus</v>
          </cell>
          <cell r="D56">
            <v>2041</v>
          </cell>
          <cell r="E56" t="str">
            <v xml:space="preserve">	</v>
          </cell>
          <cell r="F56">
            <v>9.34</v>
          </cell>
        </row>
        <row r="57">
          <cell r="A57" t="str">
            <v>h1-bus-2042</v>
          </cell>
          <cell r="B57" t="str">
            <v>h1</v>
          </cell>
          <cell r="C57" t="str">
            <v>bus</v>
          </cell>
          <cell r="D57">
            <v>2042</v>
          </cell>
          <cell r="E57" t="str">
            <v xml:space="preserve">	</v>
          </cell>
          <cell r="F57">
            <v>3.26</v>
          </cell>
        </row>
        <row r="58">
          <cell r="A58" t="str">
            <v>h1-bus-2051</v>
          </cell>
          <cell r="B58" t="str">
            <v>h1</v>
          </cell>
          <cell r="C58" t="str">
            <v>bus</v>
          </cell>
          <cell r="D58">
            <v>2051</v>
          </cell>
          <cell r="E58" t="str">
            <v xml:space="preserve">	</v>
          </cell>
          <cell r="F58">
            <v>6.87</v>
          </cell>
        </row>
        <row r="59">
          <cell r="A59" t="str">
            <v>h1-bus-2052</v>
          </cell>
          <cell r="B59" t="str">
            <v>h1</v>
          </cell>
          <cell r="C59" t="str">
            <v>bus</v>
          </cell>
          <cell r="D59">
            <v>2052</v>
          </cell>
          <cell r="E59" t="str">
            <v xml:space="preserve">	</v>
          </cell>
          <cell r="F59">
            <v>3.73</v>
          </cell>
        </row>
        <row r="60">
          <cell r="A60" t="str">
            <v>h1-bus-2071</v>
          </cell>
          <cell r="B60" t="str">
            <v>h1</v>
          </cell>
          <cell r="C60" t="str">
            <v>bus</v>
          </cell>
          <cell r="D60">
            <v>2071</v>
          </cell>
          <cell r="E60" t="str">
            <v xml:space="preserve">	</v>
          </cell>
          <cell r="F60">
            <v>2.38</v>
          </cell>
        </row>
        <row r="61">
          <cell r="A61" t="str">
            <v>h1-bus-2072</v>
          </cell>
          <cell r="B61" t="str">
            <v>h1</v>
          </cell>
          <cell r="C61" t="str">
            <v>bus</v>
          </cell>
          <cell r="D61">
            <v>2072</v>
          </cell>
          <cell r="E61" t="str">
            <v xml:space="preserve">	</v>
          </cell>
          <cell r="F61">
            <v>0.62</v>
          </cell>
        </row>
        <row r="62">
          <cell r="A62" t="str">
            <v>h1-bus-2081</v>
          </cell>
          <cell r="B62" t="str">
            <v>h1</v>
          </cell>
          <cell r="C62" t="str">
            <v>bus</v>
          </cell>
          <cell r="D62">
            <v>2081</v>
          </cell>
          <cell r="E62" t="str">
            <v xml:space="preserve">	</v>
          </cell>
          <cell r="F62">
            <v>0.97</v>
          </cell>
        </row>
        <row r="63">
          <cell r="A63" t="str">
            <v>h1-bus-2082</v>
          </cell>
          <cell r="B63" t="str">
            <v>h1</v>
          </cell>
          <cell r="C63" t="str">
            <v>bus</v>
          </cell>
          <cell r="D63">
            <v>2082</v>
          </cell>
          <cell r="E63" t="str">
            <v xml:space="preserve">	</v>
          </cell>
          <cell r="F63">
            <v>0.99</v>
          </cell>
        </row>
        <row r="64">
          <cell r="A64" t="str">
            <v>h1-bus-2091</v>
          </cell>
          <cell r="B64" t="str">
            <v>h1</v>
          </cell>
          <cell r="C64" t="str">
            <v>bus</v>
          </cell>
          <cell r="D64">
            <v>2091</v>
          </cell>
          <cell r="E64" t="str">
            <v xml:space="preserve">	</v>
          </cell>
          <cell r="F64">
            <v>7.9</v>
          </cell>
        </row>
        <row r="65">
          <cell r="A65" t="str">
            <v>h1-bus-2092</v>
          </cell>
          <cell r="B65" t="str">
            <v>h1</v>
          </cell>
          <cell r="C65" t="str">
            <v>bus</v>
          </cell>
          <cell r="D65">
            <v>2092</v>
          </cell>
          <cell r="E65" t="str">
            <v xml:space="preserve">	</v>
          </cell>
          <cell r="F65">
            <v>3.68</v>
          </cell>
        </row>
        <row r="66">
          <cell r="A66" t="str">
            <v>h1-bus-2101</v>
          </cell>
          <cell r="B66" t="str">
            <v>h1</v>
          </cell>
          <cell r="C66" t="str">
            <v>bus</v>
          </cell>
          <cell r="D66">
            <v>2101</v>
          </cell>
          <cell r="E66" t="str">
            <v xml:space="preserve">	</v>
          </cell>
          <cell r="F66">
            <v>8.59</v>
          </cell>
        </row>
        <row r="67">
          <cell r="A67" t="str">
            <v>h1-bus-2102</v>
          </cell>
          <cell r="B67" t="str">
            <v>h1</v>
          </cell>
          <cell r="C67" t="str">
            <v>bus</v>
          </cell>
          <cell r="D67">
            <v>2102</v>
          </cell>
          <cell r="E67" t="str">
            <v xml:space="preserve">	</v>
          </cell>
          <cell r="F67">
            <v>6.34</v>
          </cell>
        </row>
        <row r="68">
          <cell r="A68" t="str">
            <v>h1-bus-2111</v>
          </cell>
          <cell r="B68" t="str">
            <v>h1</v>
          </cell>
          <cell r="C68" t="str">
            <v>bus</v>
          </cell>
          <cell r="D68">
            <v>2111</v>
          </cell>
          <cell r="E68" t="str">
            <v xml:space="preserve">	</v>
          </cell>
          <cell r="F68">
            <v>3.44</v>
          </cell>
        </row>
        <row r="69">
          <cell r="A69" t="str">
            <v>h1-bus-2112</v>
          </cell>
          <cell r="B69" t="str">
            <v>h1</v>
          </cell>
          <cell r="C69" t="str">
            <v>bus</v>
          </cell>
          <cell r="D69">
            <v>2112</v>
          </cell>
          <cell r="E69" t="str">
            <v xml:space="preserve">	</v>
          </cell>
          <cell r="F69">
            <v>2.4900000000000002</v>
          </cell>
        </row>
        <row r="70">
          <cell r="A70" t="str">
            <v>h1-bus-2121</v>
          </cell>
          <cell r="B70" t="str">
            <v>h1</v>
          </cell>
          <cell r="C70" t="str">
            <v>bus</v>
          </cell>
          <cell r="D70">
            <v>2121</v>
          </cell>
          <cell r="E70" t="str">
            <v xml:space="preserve">	</v>
          </cell>
          <cell r="F70">
            <v>7.11</v>
          </cell>
        </row>
        <row r="71">
          <cell r="A71" t="str">
            <v>h1-bus-2122</v>
          </cell>
          <cell r="B71" t="str">
            <v>h1</v>
          </cell>
          <cell r="C71" t="str">
            <v>bus</v>
          </cell>
          <cell r="D71">
            <v>2122</v>
          </cell>
          <cell r="E71" t="str">
            <v xml:space="preserve">	</v>
          </cell>
          <cell r="F71">
            <v>2.5</v>
          </cell>
        </row>
        <row r="72">
          <cell r="A72" t="str">
            <v>h1-bus-2131</v>
          </cell>
          <cell r="B72" t="str">
            <v>h1</v>
          </cell>
          <cell r="C72" t="str">
            <v>bus</v>
          </cell>
          <cell r="D72">
            <v>2131</v>
          </cell>
          <cell r="E72" t="str">
            <v xml:space="preserve">	</v>
          </cell>
          <cell r="F72">
            <v>7.92</v>
          </cell>
        </row>
        <row r="73">
          <cell r="A73" t="str">
            <v>h1-bus-2132</v>
          </cell>
          <cell r="B73" t="str">
            <v>h1</v>
          </cell>
          <cell r="C73" t="str">
            <v>bus</v>
          </cell>
          <cell r="D73">
            <v>2132</v>
          </cell>
          <cell r="E73" t="str">
            <v xml:space="preserve">	</v>
          </cell>
          <cell r="F73">
            <v>5.1100000000000003</v>
          </cell>
        </row>
        <row r="74">
          <cell r="A74" t="str">
            <v>h1-bus-2141</v>
          </cell>
          <cell r="B74" t="str">
            <v>h1</v>
          </cell>
          <cell r="C74" t="str">
            <v>bus</v>
          </cell>
          <cell r="D74">
            <v>2141</v>
          </cell>
          <cell r="E74" t="str">
            <v xml:space="preserve">	</v>
          </cell>
          <cell r="F74">
            <v>13.8</v>
          </cell>
        </row>
        <row r="75">
          <cell r="A75" t="str">
            <v>h1-bus-2142</v>
          </cell>
          <cell r="B75" t="str">
            <v>h1</v>
          </cell>
          <cell r="C75" t="str">
            <v>bus</v>
          </cell>
          <cell r="D75">
            <v>2142</v>
          </cell>
          <cell r="E75" t="str">
            <v xml:space="preserve">	</v>
          </cell>
          <cell r="F75">
            <v>5.93</v>
          </cell>
        </row>
        <row r="76">
          <cell r="A76" t="str">
            <v>h1-bus-2151</v>
          </cell>
          <cell r="B76" t="str">
            <v>h1</v>
          </cell>
          <cell r="C76" t="str">
            <v>bus</v>
          </cell>
          <cell r="D76">
            <v>2151</v>
          </cell>
          <cell r="E76" t="str">
            <v xml:space="preserve">	</v>
          </cell>
          <cell r="F76">
            <v>2.65</v>
          </cell>
        </row>
        <row r="77">
          <cell r="A77" t="str">
            <v>h1-bus-2152</v>
          </cell>
          <cell r="B77" t="str">
            <v>h1</v>
          </cell>
          <cell r="C77" t="str">
            <v>bus</v>
          </cell>
          <cell r="D77">
            <v>2152</v>
          </cell>
          <cell r="E77" t="str">
            <v xml:space="preserve">	</v>
          </cell>
          <cell r="F77">
            <v>0.82</v>
          </cell>
        </row>
        <row r="78">
          <cell r="A78" t="str">
            <v>h1-bus-2161</v>
          </cell>
          <cell r="B78" t="str">
            <v>h1</v>
          </cell>
          <cell r="C78" t="str">
            <v>bus</v>
          </cell>
          <cell r="D78">
            <v>2161</v>
          </cell>
          <cell r="E78" t="str">
            <v xml:space="preserve">	</v>
          </cell>
          <cell r="F78">
            <v>5.0199999999999996</v>
          </cell>
        </row>
        <row r="79">
          <cell r="A79" t="str">
            <v>h1-bus-2162</v>
          </cell>
          <cell r="B79" t="str">
            <v>h1</v>
          </cell>
          <cell r="C79" t="str">
            <v>bus</v>
          </cell>
          <cell r="D79">
            <v>2162</v>
          </cell>
          <cell r="E79" t="str">
            <v xml:space="preserve">	</v>
          </cell>
          <cell r="F79">
            <v>4.95</v>
          </cell>
        </row>
        <row r="80">
          <cell r="A80" t="str">
            <v>h1-bus-3011</v>
          </cell>
          <cell r="B80" t="str">
            <v>h1</v>
          </cell>
          <cell r="C80" t="str">
            <v>bus</v>
          </cell>
          <cell r="D80">
            <v>3011</v>
          </cell>
          <cell r="E80" t="str">
            <v xml:space="preserve">	</v>
          </cell>
          <cell r="F80">
            <v>4.5999999999999996</v>
          </cell>
        </row>
        <row r="81">
          <cell r="A81" t="str">
            <v>h1-bus-3012</v>
          </cell>
          <cell r="B81" t="str">
            <v>h1</v>
          </cell>
          <cell r="C81" t="str">
            <v>bus</v>
          </cell>
          <cell r="D81">
            <v>3012</v>
          </cell>
          <cell r="E81" t="str">
            <v xml:space="preserve">	</v>
          </cell>
          <cell r="F81">
            <v>4.04</v>
          </cell>
        </row>
        <row r="82">
          <cell r="A82" t="str">
            <v>h1-bus-3021</v>
          </cell>
          <cell r="B82" t="str">
            <v>h1</v>
          </cell>
          <cell r="C82" t="str">
            <v>bus</v>
          </cell>
          <cell r="D82">
            <v>3021</v>
          </cell>
          <cell r="E82" t="str">
            <v xml:space="preserve">	</v>
          </cell>
          <cell r="F82">
            <v>9.31</v>
          </cell>
        </row>
        <row r="83">
          <cell r="A83" t="str">
            <v>h1-bus-3022</v>
          </cell>
          <cell r="B83" t="str">
            <v>h1</v>
          </cell>
          <cell r="C83" t="str">
            <v>bus</v>
          </cell>
          <cell r="D83">
            <v>3022</v>
          </cell>
          <cell r="E83" t="str">
            <v xml:space="preserve">	</v>
          </cell>
          <cell r="F83">
            <v>8.24</v>
          </cell>
        </row>
        <row r="84">
          <cell r="A84" t="str">
            <v>h1-bus-3031</v>
          </cell>
          <cell r="B84" t="str">
            <v>h1</v>
          </cell>
          <cell r="C84" t="str">
            <v>bus</v>
          </cell>
          <cell r="D84">
            <v>3031</v>
          </cell>
          <cell r="E84" t="str">
            <v xml:space="preserve">	</v>
          </cell>
          <cell r="F84">
            <v>10.33</v>
          </cell>
        </row>
        <row r="85">
          <cell r="A85" t="str">
            <v>h1-bus-3032</v>
          </cell>
          <cell r="B85" t="str">
            <v>h1</v>
          </cell>
          <cell r="C85" t="str">
            <v>bus</v>
          </cell>
          <cell r="D85">
            <v>3032</v>
          </cell>
          <cell r="E85" t="str">
            <v xml:space="preserve">	</v>
          </cell>
          <cell r="F85">
            <v>7.95</v>
          </cell>
        </row>
        <row r="86">
          <cell r="A86" t="str">
            <v>h1-bus-3041</v>
          </cell>
          <cell r="B86" t="str">
            <v>h1</v>
          </cell>
          <cell r="C86" t="str">
            <v>bus</v>
          </cell>
          <cell r="D86">
            <v>3041</v>
          </cell>
          <cell r="E86" t="str">
            <v xml:space="preserve">	</v>
          </cell>
          <cell r="F86">
            <v>10.42</v>
          </cell>
        </row>
        <row r="87">
          <cell r="A87" t="str">
            <v>h1-bus-3042</v>
          </cell>
          <cell r="B87" t="str">
            <v>h1</v>
          </cell>
          <cell r="C87" t="str">
            <v>bus</v>
          </cell>
          <cell r="D87">
            <v>3042</v>
          </cell>
          <cell r="E87" t="str">
            <v xml:space="preserve">	</v>
          </cell>
          <cell r="F87">
            <v>7.99</v>
          </cell>
        </row>
        <row r="88">
          <cell r="A88" t="str">
            <v>h1-bus-3051</v>
          </cell>
          <cell r="B88" t="str">
            <v>h1</v>
          </cell>
          <cell r="C88" t="str">
            <v>bus</v>
          </cell>
          <cell r="D88">
            <v>3051</v>
          </cell>
          <cell r="E88" t="str">
            <v xml:space="preserve">	</v>
          </cell>
          <cell r="F88">
            <v>6.7</v>
          </cell>
        </row>
        <row r="89">
          <cell r="A89" t="str">
            <v>h1-bus-3052</v>
          </cell>
          <cell r="B89" t="str">
            <v>h1</v>
          </cell>
          <cell r="C89" t="str">
            <v>bus</v>
          </cell>
          <cell r="D89">
            <v>3052</v>
          </cell>
          <cell r="E89" t="str">
            <v xml:space="preserve">	</v>
          </cell>
          <cell r="F89">
            <v>5.43</v>
          </cell>
        </row>
        <row r="90">
          <cell r="A90" t="str">
            <v>h1-bus-3061</v>
          </cell>
          <cell r="B90" t="str">
            <v>h1</v>
          </cell>
          <cell r="C90" t="str">
            <v>bus</v>
          </cell>
          <cell r="D90">
            <v>3061</v>
          </cell>
          <cell r="E90" t="str">
            <v xml:space="preserve">	</v>
          </cell>
          <cell r="F90">
            <v>3.81</v>
          </cell>
        </row>
        <row r="91">
          <cell r="A91" t="str">
            <v>h1-bus-3062</v>
          </cell>
          <cell r="B91" t="str">
            <v>h1</v>
          </cell>
          <cell r="C91" t="str">
            <v>bus</v>
          </cell>
          <cell r="D91">
            <v>3062</v>
          </cell>
          <cell r="E91" t="str">
            <v xml:space="preserve">	</v>
          </cell>
          <cell r="F91">
            <v>4.21</v>
          </cell>
        </row>
        <row r="92">
          <cell r="A92" t="str">
            <v>h1-bus-3071</v>
          </cell>
          <cell r="B92" t="str">
            <v>h1</v>
          </cell>
          <cell r="C92" t="str">
            <v>bus</v>
          </cell>
          <cell r="D92">
            <v>3071</v>
          </cell>
          <cell r="E92" t="str">
            <v xml:space="preserve">	</v>
          </cell>
          <cell r="F92">
            <v>13.48</v>
          </cell>
        </row>
        <row r="93">
          <cell r="A93" t="str">
            <v>h1-bus-3072</v>
          </cell>
          <cell r="B93" t="str">
            <v>h1</v>
          </cell>
          <cell r="C93" t="str">
            <v>bus</v>
          </cell>
          <cell r="D93">
            <v>3072</v>
          </cell>
          <cell r="E93" t="str">
            <v xml:space="preserve">	</v>
          </cell>
          <cell r="F93">
            <v>9.41</v>
          </cell>
        </row>
        <row r="94">
          <cell r="A94" t="str">
            <v>h1-bus-3081</v>
          </cell>
          <cell r="B94" t="str">
            <v>h1</v>
          </cell>
          <cell r="C94" t="str">
            <v>bus</v>
          </cell>
          <cell r="D94">
            <v>3081</v>
          </cell>
          <cell r="E94" t="str">
            <v xml:space="preserve">	</v>
          </cell>
          <cell r="F94">
            <v>3.25</v>
          </cell>
        </row>
        <row r="95">
          <cell r="A95" t="str">
            <v>h1-bus-3082</v>
          </cell>
          <cell r="B95" t="str">
            <v>h1</v>
          </cell>
          <cell r="C95" t="str">
            <v>bus</v>
          </cell>
          <cell r="D95">
            <v>3082</v>
          </cell>
          <cell r="E95" t="str">
            <v xml:space="preserve">	</v>
          </cell>
          <cell r="F95">
            <v>3.58</v>
          </cell>
        </row>
        <row r="96">
          <cell r="A96" t="str">
            <v>h1-bus-3091</v>
          </cell>
          <cell r="B96" t="str">
            <v>h1</v>
          </cell>
          <cell r="C96" t="str">
            <v>bus</v>
          </cell>
          <cell r="D96">
            <v>3091</v>
          </cell>
          <cell r="E96" t="str">
            <v xml:space="preserve">	</v>
          </cell>
          <cell r="F96">
            <v>5.63</v>
          </cell>
        </row>
        <row r="97">
          <cell r="A97" t="str">
            <v>h1-bus-3092</v>
          </cell>
          <cell r="B97" t="str">
            <v>h1</v>
          </cell>
          <cell r="C97" t="str">
            <v>bus</v>
          </cell>
          <cell r="D97">
            <v>3092</v>
          </cell>
          <cell r="E97" t="str">
            <v xml:space="preserve">	</v>
          </cell>
          <cell r="F97">
            <v>3.97</v>
          </cell>
        </row>
        <row r="98">
          <cell r="A98" t="str">
            <v>h1-bus-4011</v>
          </cell>
          <cell r="B98" t="str">
            <v>h1</v>
          </cell>
          <cell r="C98" t="str">
            <v>bus</v>
          </cell>
          <cell r="D98">
            <v>4011</v>
          </cell>
          <cell r="E98" t="str">
            <v xml:space="preserve">	</v>
          </cell>
          <cell r="F98">
            <v>3.61</v>
          </cell>
        </row>
        <row r="99">
          <cell r="A99" t="str">
            <v>h1-bus-4012</v>
          </cell>
          <cell r="B99" t="str">
            <v>h1</v>
          </cell>
          <cell r="C99" t="str">
            <v>bus</v>
          </cell>
          <cell r="D99">
            <v>4012</v>
          </cell>
          <cell r="E99" t="str">
            <v xml:space="preserve">	</v>
          </cell>
          <cell r="F99">
            <v>3.03</v>
          </cell>
        </row>
        <row r="100">
          <cell r="A100" t="str">
            <v>h1-bus-4021</v>
          </cell>
          <cell r="B100" t="str">
            <v>h1</v>
          </cell>
          <cell r="C100" t="str">
            <v>bus</v>
          </cell>
          <cell r="D100">
            <v>4021</v>
          </cell>
          <cell r="E100" t="str">
            <v xml:space="preserve">	</v>
          </cell>
          <cell r="F100">
            <v>4.29</v>
          </cell>
        </row>
        <row r="101">
          <cell r="A101" t="str">
            <v>h1-bus-4022</v>
          </cell>
          <cell r="B101" t="str">
            <v>h1</v>
          </cell>
          <cell r="C101" t="str">
            <v>bus</v>
          </cell>
          <cell r="D101">
            <v>4022</v>
          </cell>
          <cell r="E101" t="str">
            <v xml:space="preserve">	</v>
          </cell>
          <cell r="F101">
            <v>4.51</v>
          </cell>
        </row>
        <row r="102">
          <cell r="A102" t="str">
            <v>h1-bus-4031</v>
          </cell>
          <cell r="B102" t="str">
            <v>h1</v>
          </cell>
          <cell r="C102" t="str">
            <v>bus</v>
          </cell>
          <cell r="D102">
            <v>4031</v>
          </cell>
          <cell r="E102" t="str">
            <v xml:space="preserve">	</v>
          </cell>
          <cell r="F102">
            <v>4.1900000000000004</v>
          </cell>
        </row>
        <row r="103">
          <cell r="A103" t="str">
            <v>h1-bus-4032</v>
          </cell>
          <cell r="B103" t="str">
            <v>h1</v>
          </cell>
          <cell r="C103" t="str">
            <v>bus</v>
          </cell>
          <cell r="D103">
            <v>4032</v>
          </cell>
          <cell r="E103" t="str">
            <v xml:space="preserve">	</v>
          </cell>
          <cell r="F103">
            <v>6.94</v>
          </cell>
        </row>
        <row r="104">
          <cell r="A104" t="str">
            <v>h1-bus-4041</v>
          </cell>
          <cell r="B104" t="str">
            <v>h1</v>
          </cell>
          <cell r="C104" t="str">
            <v>bus</v>
          </cell>
          <cell r="D104">
            <v>4041</v>
          </cell>
          <cell r="E104" t="str">
            <v xml:space="preserve">	</v>
          </cell>
          <cell r="F104">
            <v>5.98</v>
          </cell>
        </row>
        <row r="105">
          <cell r="A105" t="str">
            <v>h1-bus-4042</v>
          </cell>
          <cell r="B105" t="str">
            <v>h1</v>
          </cell>
          <cell r="C105" t="str">
            <v>bus</v>
          </cell>
          <cell r="D105">
            <v>4042</v>
          </cell>
          <cell r="E105" t="str">
            <v xml:space="preserve">	</v>
          </cell>
          <cell r="F105">
            <v>2.8</v>
          </cell>
        </row>
        <row r="106">
          <cell r="A106" t="str">
            <v>h1-bus-4051</v>
          </cell>
          <cell r="B106" t="str">
            <v>h1</v>
          </cell>
          <cell r="C106" t="str">
            <v>bus</v>
          </cell>
          <cell r="D106">
            <v>4051</v>
          </cell>
          <cell r="E106" t="str">
            <v xml:space="preserve">	</v>
          </cell>
          <cell r="F106">
            <v>3.74</v>
          </cell>
        </row>
        <row r="107">
          <cell r="A107" t="str">
            <v>h1-bus-4052</v>
          </cell>
          <cell r="B107" t="str">
            <v>h1</v>
          </cell>
          <cell r="C107" t="str">
            <v>bus</v>
          </cell>
          <cell r="D107">
            <v>4052</v>
          </cell>
          <cell r="E107" t="str">
            <v xml:space="preserve">	</v>
          </cell>
          <cell r="F107">
            <v>3.57</v>
          </cell>
        </row>
        <row r="108">
          <cell r="A108" t="str">
            <v>h1-bus-4061</v>
          </cell>
          <cell r="B108" t="str">
            <v>h1</v>
          </cell>
          <cell r="C108" t="str">
            <v>bus</v>
          </cell>
          <cell r="D108">
            <v>4061</v>
          </cell>
          <cell r="E108" t="str">
            <v xml:space="preserve">	</v>
          </cell>
          <cell r="F108">
            <v>7.89</v>
          </cell>
        </row>
        <row r="109">
          <cell r="A109" t="str">
            <v>h1-bus-4062</v>
          </cell>
          <cell r="B109" t="str">
            <v>h1</v>
          </cell>
          <cell r="C109" t="str">
            <v>bus</v>
          </cell>
          <cell r="D109">
            <v>4062</v>
          </cell>
          <cell r="E109" t="str">
            <v xml:space="preserve">	</v>
          </cell>
          <cell r="F109">
            <v>9.6199999999999992</v>
          </cell>
        </row>
        <row r="110">
          <cell r="A110" t="str">
            <v>h1-bus-4071</v>
          </cell>
          <cell r="B110" t="str">
            <v>h1</v>
          </cell>
          <cell r="C110" t="str">
            <v>bus</v>
          </cell>
          <cell r="D110">
            <v>4071</v>
          </cell>
          <cell r="E110" t="str">
            <v xml:space="preserve">	</v>
          </cell>
          <cell r="F110">
            <v>1.93</v>
          </cell>
        </row>
        <row r="111">
          <cell r="A111" t="str">
            <v>h1-bus-4072</v>
          </cell>
          <cell r="B111" t="str">
            <v>h1</v>
          </cell>
          <cell r="C111" t="str">
            <v>bus</v>
          </cell>
          <cell r="D111">
            <v>4072</v>
          </cell>
          <cell r="E111" t="str">
            <v xml:space="preserve">	</v>
          </cell>
          <cell r="F111">
            <v>0.61</v>
          </cell>
        </row>
        <row r="112">
          <cell r="A112" t="str">
            <v>h1-bus-4091</v>
          </cell>
          <cell r="B112" t="str">
            <v>h1</v>
          </cell>
          <cell r="C112" t="str">
            <v>bus</v>
          </cell>
          <cell r="D112">
            <v>4091</v>
          </cell>
          <cell r="E112" t="str">
            <v xml:space="preserve">	</v>
          </cell>
          <cell r="F112">
            <v>3.54</v>
          </cell>
        </row>
        <row r="113">
          <cell r="A113" t="str">
            <v>h1-bus-4092</v>
          </cell>
          <cell r="B113" t="str">
            <v>h1</v>
          </cell>
          <cell r="C113" t="str">
            <v>bus</v>
          </cell>
          <cell r="D113">
            <v>4092</v>
          </cell>
          <cell r="E113" t="str">
            <v xml:space="preserve">	</v>
          </cell>
          <cell r="F113">
            <v>3.43</v>
          </cell>
        </row>
        <row r="114">
          <cell r="A114" t="str">
            <v>h1-bus-4101</v>
          </cell>
          <cell r="B114" t="str">
            <v>h1</v>
          </cell>
          <cell r="C114" t="str">
            <v>bus</v>
          </cell>
          <cell r="D114">
            <v>4101</v>
          </cell>
          <cell r="E114" t="str">
            <v xml:space="preserve">	</v>
          </cell>
          <cell r="F114">
            <v>9.8000000000000007</v>
          </cell>
        </row>
        <row r="115">
          <cell r="A115" t="str">
            <v>h1-bus-4102</v>
          </cell>
          <cell r="B115" t="str">
            <v>h1</v>
          </cell>
          <cell r="C115" t="str">
            <v>bus</v>
          </cell>
          <cell r="D115">
            <v>4102</v>
          </cell>
          <cell r="E115" t="str">
            <v xml:space="preserve">	</v>
          </cell>
          <cell r="F115">
            <v>6.35</v>
          </cell>
        </row>
        <row r="116">
          <cell r="A116" t="str">
            <v>h1-bus-4111</v>
          </cell>
          <cell r="B116" t="str">
            <v>h1</v>
          </cell>
          <cell r="C116" t="str">
            <v>bus</v>
          </cell>
          <cell r="D116">
            <v>4111</v>
          </cell>
          <cell r="E116" t="str">
            <v xml:space="preserve">	</v>
          </cell>
          <cell r="F116">
            <v>5.33</v>
          </cell>
        </row>
        <row r="117">
          <cell r="A117" t="str">
            <v>h1-bus-4112</v>
          </cell>
          <cell r="B117" t="str">
            <v>h1</v>
          </cell>
          <cell r="C117" t="str">
            <v>bus</v>
          </cell>
          <cell r="D117">
            <v>4112</v>
          </cell>
          <cell r="E117" t="str">
            <v xml:space="preserve">	</v>
          </cell>
          <cell r="F117">
            <v>4.25</v>
          </cell>
        </row>
        <row r="118">
          <cell r="A118" t="str">
            <v>h1-bus-4121</v>
          </cell>
          <cell r="B118" t="str">
            <v>h1</v>
          </cell>
          <cell r="C118" t="str">
            <v>bus</v>
          </cell>
          <cell r="D118">
            <v>4121</v>
          </cell>
          <cell r="E118" t="str">
            <v xml:space="preserve">	</v>
          </cell>
          <cell r="F118">
            <v>5.88</v>
          </cell>
        </row>
        <row r="119">
          <cell r="A119" t="str">
            <v>h1-bus-4122</v>
          </cell>
          <cell r="B119" t="str">
            <v>h1</v>
          </cell>
          <cell r="C119" t="str">
            <v>bus</v>
          </cell>
          <cell r="D119">
            <v>4122</v>
          </cell>
          <cell r="E119" t="str">
            <v xml:space="preserve">	</v>
          </cell>
          <cell r="F119">
            <v>5.97</v>
          </cell>
        </row>
        <row r="120">
          <cell r="A120" t="str">
            <v>h1-bus-5011</v>
          </cell>
          <cell r="B120" t="str">
            <v>h1</v>
          </cell>
          <cell r="C120" t="str">
            <v>bus</v>
          </cell>
          <cell r="D120">
            <v>5011</v>
          </cell>
          <cell r="E120" t="str">
            <v xml:space="preserve">	</v>
          </cell>
          <cell r="F120">
            <v>8.08</v>
          </cell>
        </row>
        <row r="121">
          <cell r="A121" t="str">
            <v>h1-bus-5012</v>
          </cell>
          <cell r="B121" t="str">
            <v>h1</v>
          </cell>
          <cell r="C121" t="str">
            <v>bus</v>
          </cell>
          <cell r="D121">
            <v>5012</v>
          </cell>
          <cell r="E121" t="str">
            <v xml:space="preserve">	</v>
          </cell>
          <cell r="F121">
            <v>3.26</v>
          </cell>
        </row>
        <row r="122">
          <cell r="A122" t="str">
            <v>h1-bus-5031</v>
          </cell>
          <cell r="B122" t="str">
            <v>h1</v>
          </cell>
          <cell r="C122" t="str">
            <v>bus</v>
          </cell>
          <cell r="D122">
            <v>5031</v>
          </cell>
          <cell r="E122" t="str">
            <v xml:space="preserve">	</v>
          </cell>
          <cell r="F122">
            <v>1.77</v>
          </cell>
        </row>
        <row r="123">
          <cell r="A123" t="str">
            <v>h1-bus-5032</v>
          </cell>
          <cell r="B123" t="str">
            <v>h1</v>
          </cell>
          <cell r="C123" t="str">
            <v>bus</v>
          </cell>
          <cell r="D123">
            <v>5032</v>
          </cell>
          <cell r="E123" t="str">
            <v xml:space="preserve">	</v>
          </cell>
          <cell r="F123">
            <v>0.39</v>
          </cell>
        </row>
        <row r="124">
          <cell r="A124" t="str">
            <v>h1-bus-5041</v>
          </cell>
          <cell r="B124" t="str">
            <v>h1</v>
          </cell>
          <cell r="C124" t="str">
            <v>bus</v>
          </cell>
          <cell r="D124">
            <v>5041</v>
          </cell>
          <cell r="E124" t="str">
            <v xml:space="preserve">	</v>
          </cell>
          <cell r="F124">
            <v>4.66</v>
          </cell>
        </row>
        <row r="125">
          <cell r="A125" t="str">
            <v>h1-bus-5042</v>
          </cell>
          <cell r="B125" t="str">
            <v>h1</v>
          </cell>
          <cell r="C125" t="str">
            <v>bus</v>
          </cell>
          <cell r="D125">
            <v>5042</v>
          </cell>
          <cell r="E125" t="str">
            <v xml:space="preserve">	</v>
          </cell>
          <cell r="F125">
            <v>2.33</v>
          </cell>
        </row>
        <row r="126">
          <cell r="A126" t="str">
            <v>h1-bus-5051</v>
          </cell>
          <cell r="B126" t="str">
            <v>h1</v>
          </cell>
          <cell r="C126" t="str">
            <v>bus</v>
          </cell>
          <cell r="D126">
            <v>5051</v>
          </cell>
          <cell r="E126" t="str">
            <v xml:space="preserve">	</v>
          </cell>
          <cell r="F126">
            <v>8.01</v>
          </cell>
        </row>
        <row r="127">
          <cell r="A127" t="str">
            <v>h1-bus-5052</v>
          </cell>
          <cell r="B127" t="str">
            <v>h1</v>
          </cell>
          <cell r="C127" t="str">
            <v>bus</v>
          </cell>
          <cell r="D127">
            <v>5052</v>
          </cell>
          <cell r="E127" t="str">
            <v xml:space="preserve">	</v>
          </cell>
          <cell r="F127">
            <v>3.42</v>
          </cell>
        </row>
        <row r="128">
          <cell r="A128" t="str">
            <v>h1-bus-5061</v>
          </cell>
          <cell r="B128" t="str">
            <v>h1</v>
          </cell>
          <cell r="C128" t="str">
            <v>bus</v>
          </cell>
          <cell r="D128">
            <v>5061</v>
          </cell>
          <cell r="E128" t="str">
            <v xml:space="preserve">	</v>
          </cell>
          <cell r="F128">
            <v>3.58</v>
          </cell>
        </row>
        <row r="129">
          <cell r="A129" t="str">
            <v>h1-bus-5062</v>
          </cell>
          <cell r="B129" t="str">
            <v>h1</v>
          </cell>
          <cell r="C129" t="str">
            <v>bus</v>
          </cell>
          <cell r="D129">
            <v>5062</v>
          </cell>
          <cell r="E129" t="str">
            <v xml:space="preserve">	</v>
          </cell>
          <cell r="F129">
            <v>3.96</v>
          </cell>
        </row>
        <row r="130">
          <cell r="A130" t="str">
            <v>h1-bus-5071</v>
          </cell>
          <cell r="B130" t="str">
            <v>h1</v>
          </cell>
          <cell r="C130" t="str">
            <v>bus</v>
          </cell>
          <cell r="D130">
            <v>5071</v>
          </cell>
          <cell r="E130" t="str">
            <v xml:space="preserve">	</v>
          </cell>
          <cell r="F130">
            <v>5.27</v>
          </cell>
        </row>
        <row r="131">
          <cell r="A131" t="str">
            <v>h1-bus-5072</v>
          </cell>
          <cell r="B131" t="str">
            <v>h1</v>
          </cell>
          <cell r="C131" t="str">
            <v>bus</v>
          </cell>
          <cell r="D131">
            <v>5072</v>
          </cell>
          <cell r="E131" t="str">
            <v xml:space="preserve">	</v>
          </cell>
          <cell r="F131">
            <v>1.88</v>
          </cell>
        </row>
        <row r="132">
          <cell r="A132" t="str">
            <v>h1-bus-5081</v>
          </cell>
          <cell r="B132" t="str">
            <v>h1</v>
          </cell>
          <cell r="C132" t="str">
            <v>bus</v>
          </cell>
          <cell r="D132">
            <v>5081</v>
          </cell>
          <cell r="E132" t="str">
            <v xml:space="preserve">	</v>
          </cell>
          <cell r="F132">
            <v>2.23</v>
          </cell>
        </row>
        <row r="133">
          <cell r="A133" t="str">
            <v>h1-bus-5082</v>
          </cell>
          <cell r="B133" t="str">
            <v>h1</v>
          </cell>
          <cell r="C133" t="str">
            <v>bus</v>
          </cell>
          <cell r="D133">
            <v>5082</v>
          </cell>
          <cell r="E133" t="str">
            <v xml:space="preserve">	</v>
          </cell>
          <cell r="F133">
            <v>1.17</v>
          </cell>
        </row>
        <row r="134">
          <cell r="A134" t="str">
            <v>h1-bus-5091</v>
          </cell>
          <cell r="B134" t="str">
            <v>h1</v>
          </cell>
          <cell r="C134" t="str">
            <v>bus</v>
          </cell>
          <cell r="D134">
            <v>5091</v>
          </cell>
          <cell r="E134" t="str">
            <v xml:space="preserve">	</v>
          </cell>
          <cell r="F134">
            <v>4.49</v>
          </cell>
        </row>
        <row r="135">
          <cell r="A135" t="str">
            <v>h1-bus-5092</v>
          </cell>
          <cell r="B135" t="str">
            <v>h1</v>
          </cell>
          <cell r="C135" t="str">
            <v>bus</v>
          </cell>
          <cell r="D135">
            <v>5092</v>
          </cell>
          <cell r="E135" t="str">
            <v xml:space="preserve">	</v>
          </cell>
          <cell r="F135">
            <v>2.4900000000000002</v>
          </cell>
        </row>
        <row r="136">
          <cell r="A136" t="str">
            <v>h1-bus-5101</v>
          </cell>
          <cell r="B136" t="str">
            <v>h1</v>
          </cell>
          <cell r="C136" t="str">
            <v>bus</v>
          </cell>
          <cell r="D136">
            <v>5101</v>
          </cell>
          <cell r="E136" t="str">
            <v xml:space="preserve">	</v>
          </cell>
          <cell r="F136">
            <v>10.63</v>
          </cell>
        </row>
        <row r="137">
          <cell r="A137" t="str">
            <v>h1-bus-5102</v>
          </cell>
          <cell r="B137" t="str">
            <v>h1</v>
          </cell>
          <cell r="C137" t="str">
            <v>bus</v>
          </cell>
          <cell r="D137">
            <v>5102</v>
          </cell>
          <cell r="E137" t="str">
            <v xml:space="preserve">	</v>
          </cell>
          <cell r="F137">
            <v>4.0999999999999996</v>
          </cell>
        </row>
        <row r="138">
          <cell r="A138" t="str">
            <v>h1-bus-5111</v>
          </cell>
          <cell r="B138" t="str">
            <v>h1</v>
          </cell>
          <cell r="C138" t="str">
            <v>bus</v>
          </cell>
          <cell r="D138">
            <v>5111</v>
          </cell>
          <cell r="E138" t="str">
            <v xml:space="preserve">	</v>
          </cell>
          <cell r="F138">
            <v>2.06</v>
          </cell>
        </row>
        <row r="139">
          <cell r="A139" t="str">
            <v>h1-bus-5112</v>
          </cell>
          <cell r="B139" t="str">
            <v>h1</v>
          </cell>
          <cell r="C139" t="str">
            <v>bus</v>
          </cell>
          <cell r="D139">
            <v>5112</v>
          </cell>
          <cell r="E139" t="str">
            <v xml:space="preserve">	</v>
          </cell>
          <cell r="F139">
            <v>1.8</v>
          </cell>
        </row>
        <row r="140">
          <cell r="A140" t="str">
            <v>h1-bus-5121</v>
          </cell>
          <cell r="B140" t="str">
            <v>h1</v>
          </cell>
          <cell r="C140" t="str">
            <v>bus</v>
          </cell>
          <cell r="D140">
            <v>5121</v>
          </cell>
          <cell r="E140" t="str">
            <v xml:space="preserve">	</v>
          </cell>
          <cell r="F140">
            <v>1.69</v>
          </cell>
        </row>
        <row r="141">
          <cell r="A141" t="str">
            <v>h1-bus-5122</v>
          </cell>
          <cell r="B141" t="str">
            <v>h1</v>
          </cell>
          <cell r="C141" t="str">
            <v>bus</v>
          </cell>
          <cell r="D141">
            <v>5122</v>
          </cell>
          <cell r="E141" t="str">
            <v xml:space="preserve">	</v>
          </cell>
          <cell r="F141">
            <v>1.74</v>
          </cell>
        </row>
        <row r="142">
          <cell r="A142" t="str">
            <v>h1-bus-5131</v>
          </cell>
          <cell r="B142" t="str">
            <v>h1</v>
          </cell>
          <cell r="C142" t="str">
            <v>bus</v>
          </cell>
          <cell r="D142">
            <v>5131</v>
          </cell>
          <cell r="E142" t="str">
            <v xml:space="preserve">	</v>
          </cell>
          <cell r="F142">
            <v>2.31</v>
          </cell>
        </row>
        <row r="143">
          <cell r="A143" t="str">
            <v>h1-bus-5132</v>
          </cell>
          <cell r="B143" t="str">
            <v>h1</v>
          </cell>
          <cell r="C143" t="str">
            <v>bus</v>
          </cell>
          <cell r="D143">
            <v>5132</v>
          </cell>
          <cell r="E143" t="str">
            <v xml:space="preserve">	</v>
          </cell>
          <cell r="F143">
            <v>2.69</v>
          </cell>
        </row>
        <row r="144">
          <cell r="A144" t="str">
            <v>h1-bus-5141</v>
          </cell>
          <cell r="B144" t="str">
            <v>h1</v>
          </cell>
          <cell r="C144" t="str">
            <v>bus</v>
          </cell>
          <cell r="D144">
            <v>5141</v>
          </cell>
          <cell r="E144" t="str">
            <v xml:space="preserve">	</v>
          </cell>
          <cell r="F144">
            <v>1.48</v>
          </cell>
        </row>
        <row r="145">
          <cell r="A145" t="str">
            <v>h1-bus-5142</v>
          </cell>
          <cell r="B145" t="str">
            <v>h1</v>
          </cell>
          <cell r="C145" t="str">
            <v>bus</v>
          </cell>
          <cell r="D145">
            <v>5142</v>
          </cell>
          <cell r="E145" t="str">
            <v xml:space="preserve">	</v>
          </cell>
          <cell r="F145">
            <v>0.88</v>
          </cell>
        </row>
        <row r="146">
          <cell r="A146" t="str">
            <v>h1-bus-5151</v>
          </cell>
          <cell r="B146" t="str">
            <v>h1</v>
          </cell>
          <cell r="C146" t="str">
            <v>bus</v>
          </cell>
          <cell r="D146">
            <v>5151</v>
          </cell>
          <cell r="E146" t="str">
            <v xml:space="preserve">	</v>
          </cell>
          <cell r="F146">
            <v>1</v>
          </cell>
        </row>
        <row r="147">
          <cell r="A147" t="str">
            <v>h1-bus-5152</v>
          </cell>
          <cell r="B147" t="str">
            <v>h1</v>
          </cell>
          <cell r="C147" t="str">
            <v>bus</v>
          </cell>
          <cell r="D147">
            <v>5152</v>
          </cell>
          <cell r="E147" t="str">
            <v xml:space="preserve">	</v>
          </cell>
          <cell r="F147">
            <v>0.92</v>
          </cell>
        </row>
        <row r="148">
          <cell r="A148" t="str">
            <v>h1-bus-5161</v>
          </cell>
          <cell r="B148" t="str">
            <v>h1</v>
          </cell>
          <cell r="C148" t="str">
            <v>bus</v>
          </cell>
          <cell r="D148">
            <v>5161</v>
          </cell>
          <cell r="E148" t="str">
            <v xml:space="preserve">	</v>
          </cell>
          <cell r="F148">
            <v>0.14000000000000001</v>
          </cell>
        </row>
        <row r="149">
          <cell r="A149" t="str">
            <v>h1-bus-5162</v>
          </cell>
          <cell r="B149" t="str">
            <v>h1</v>
          </cell>
          <cell r="C149" t="str">
            <v>bus</v>
          </cell>
          <cell r="D149">
            <v>5162</v>
          </cell>
          <cell r="E149" t="str">
            <v xml:space="preserve">	</v>
          </cell>
          <cell r="F149">
            <v>0.06</v>
          </cell>
        </row>
        <row r="150">
          <cell r="A150" t="str">
            <v>h1-bus-5171</v>
          </cell>
          <cell r="B150" t="str">
            <v>h1</v>
          </cell>
          <cell r="C150" t="str">
            <v>bus</v>
          </cell>
          <cell r="D150">
            <v>5171</v>
          </cell>
          <cell r="E150" t="str">
            <v xml:space="preserve">	</v>
          </cell>
          <cell r="F150">
            <v>1.33</v>
          </cell>
        </row>
        <row r="151">
          <cell r="A151" t="str">
            <v>h1-bus-5172</v>
          </cell>
          <cell r="B151" t="str">
            <v>h1</v>
          </cell>
          <cell r="C151" t="str">
            <v>bus</v>
          </cell>
          <cell r="D151">
            <v>5172</v>
          </cell>
          <cell r="E151" t="str">
            <v xml:space="preserve">	</v>
          </cell>
          <cell r="F151">
            <v>2</v>
          </cell>
        </row>
        <row r="152">
          <cell r="A152" t="str">
            <v>h1-bus-5181</v>
          </cell>
          <cell r="B152" t="str">
            <v>h1</v>
          </cell>
          <cell r="C152" t="str">
            <v>bus</v>
          </cell>
          <cell r="D152">
            <v>5181</v>
          </cell>
          <cell r="E152" t="str">
            <v xml:space="preserve">	</v>
          </cell>
          <cell r="F152">
            <v>1.69</v>
          </cell>
        </row>
        <row r="153">
          <cell r="A153" t="str">
            <v>h1-bus-5182</v>
          </cell>
          <cell r="B153" t="str">
            <v>h1</v>
          </cell>
          <cell r="C153" t="str">
            <v>bus</v>
          </cell>
          <cell r="D153">
            <v>5182</v>
          </cell>
          <cell r="E153" t="str">
            <v xml:space="preserve">	</v>
          </cell>
          <cell r="F153">
            <v>1.61</v>
          </cell>
        </row>
        <row r="154">
          <cell r="A154" t="str">
            <v>h1-bus-5191</v>
          </cell>
          <cell r="B154" t="str">
            <v>h1</v>
          </cell>
          <cell r="C154" t="str">
            <v>bus</v>
          </cell>
          <cell r="D154">
            <v>5191</v>
          </cell>
          <cell r="E154" t="str">
            <v xml:space="preserve">	</v>
          </cell>
          <cell r="F154">
            <v>2.04</v>
          </cell>
        </row>
        <row r="155">
          <cell r="A155" t="str">
            <v>h1-bus-5192</v>
          </cell>
          <cell r="B155" t="str">
            <v>h1</v>
          </cell>
          <cell r="C155" t="str">
            <v>bus</v>
          </cell>
          <cell r="D155">
            <v>5192</v>
          </cell>
          <cell r="E155" t="str">
            <v xml:space="preserve">	</v>
          </cell>
          <cell r="F155">
            <v>0.67</v>
          </cell>
        </row>
        <row r="156">
          <cell r="A156" t="str">
            <v>h1-bus-5201</v>
          </cell>
          <cell r="B156" t="str">
            <v>h1</v>
          </cell>
          <cell r="C156" t="str">
            <v>bus</v>
          </cell>
          <cell r="D156">
            <v>5201</v>
          </cell>
          <cell r="E156" t="str">
            <v xml:space="preserve">	</v>
          </cell>
          <cell r="F156">
            <v>1.02</v>
          </cell>
        </row>
        <row r="157">
          <cell r="A157" t="str">
            <v>h1-bus-5202</v>
          </cell>
          <cell r="B157" t="str">
            <v>h1</v>
          </cell>
          <cell r="C157" t="str">
            <v>bus</v>
          </cell>
          <cell r="D157">
            <v>5202</v>
          </cell>
          <cell r="E157" t="str">
            <v xml:space="preserve">	</v>
          </cell>
          <cell r="F157">
            <v>1.94</v>
          </cell>
        </row>
        <row r="158">
          <cell r="A158" t="str">
            <v>h1-bus-5221</v>
          </cell>
          <cell r="B158" t="str">
            <v>h1</v>
          </cell>
          <cell r="C158" t="str">
            <v>bus</v>
          </cell>
          <cell r="D158">
            <v>5221</v>
          </cell>
          <cell r="E158" t="str">
            <v xml:space="preserve">	</v>
          </cell>
          <cell r="F158">
            <v>1.23</v>
          </cell>
        </row>
        <row r="159">
          <cell r="A159" t="str">
            <v>h1-bus-5222</v>
          </cell>
          <cell r="B159" t="str">
            <v>h1</v>
          </cell>
          <cell r="C159" t="str">
            <v>bus</v>
          </cell>
          <cell r="D159">
            <v>5222</v>
          </cell>
          <cell r="E159" t="str">
            <v xml:space="preserve">	</v>
          </cell>
          <cell r="F159">
            <v>0.72</v>
          </cell>
        </row>
        <row r="160">
          <cell r="A160" t="str">
            <v>h1-bus-6011</v>
          </cell>
          <cell r="B160" t="str">
            <v>h1</v>
          </cell>
          <cell r="C160" t="str">
            <v>bus</v>
          </cell>
          <cell r="D160">
            <v>6011</v>
          </cell>
          <cell r="E160" t="str">
            <v xml:space="preserve">	</v>
          </cell>
          <cell r="F160">
            <v>1.07</v>
          </cell>
        </row>
        <row r="161">
          <cell r="A161" t="str">
            <v>h1-bus-6012</v>
          </cell>
          <cell r="B161" t="str">
            <v>h1</v>
          </cell>
          <cell r="C161" t="str">
            <v>bus</v>
          </cell>
          <cell r="D161">
            <v>6012</v>
          </cell>
          <cell r="E161" t="str">
            <v xml:space="preserve">	</v>
          </cell>
          <cell r="F161">
            <v>1.02</v>
          </cell>
        </row>
        <row r="162">
          <cell r="A162" t="str">
            <v>h1-bus-6021</v>
          </cell>
          <cell r="B162" t="str">
            <v>h1</v>
          </cell>
          <cell r="C162" t="str">
            <v>bus</v>
          </cell>
          <cell r="D162">
            <v>6021</v>
          </cell>
          <cell r="E162" t="str">
            <v xml:space="preserve">	</v>
          </cell>
          <cell r="F162">
            <v>24.23</v>
          </cell>
        </row>
        <row r="163">
          <cell r="A163" t="str">
            <v>h1-bus-6022</v>
          </cell>
          <cell r="B163" t="str">
            <v>h1</v>
          </cell>
          <cell r="C163" t="str">
            <v>bus</v>
          </cell>
          <cell r="D163">
            <v>6022</v>
          </cell>
          <cell r="E163" t="str">
            <v xml:space="preserve">	</v>
          </cell>
          <cell r="F163">
            <v>9.98</v>
          </cell>
        </row>
        <row r="164">
          <cell r="A164" t="str">
            <v>h1-bus-6031</v>
          </cell>
          <cell r="B164" t="str">
            <v>h1</v>
          </cell>
          <cell r="C164" t="str">
            <v>bus</v>
          </cell>
          <cell r="D164">
            <v>6031</v>
          </cell>
          <cell r="E164" t="str">
            <v xml:space="preserve">	</v>
          </cell>
          <cell r="F164">
            <v>9.14</v>
          </cell>
        </row>
        <row r="165">
          <cell r="A165" t="str">
            <v>h1-bus-6032</v>
          </cell>
          <cell r="B165" t="str">
            <v>h1</v>
          </cell>
          <cell r="C165" t="str">
            <v>bus</v>
          </cell>
          <cell r="D165">
            <v>6032</v>
          </cell>
          <cell r="E165" t="str">
            <v xml:space="preserve">	</v>
          </cell>
          <cell r="F165">
            <v>7.5</v>
          </cell>
        </row>
        <row r="166">
          <cell r="A166" t="str">
            <v>h1-bus-6041</v>
          </cell>
          <cell r="B166" t="str">
            <v>h1</v>
          </cell>
          <cell r="C166" t="str">
            <v>bus</v>
          </cell>
          <cell r="D166">
            <v>6041</v>
          </cell>
          <cell r="E166" t="str">
            <v xml:space="preserve">	</v>
          </cell>
          <cell r="F166">
            <v>2.4700000000000002</v>
          </cell>
        </row>
        <row r="167">
          <cell r="A167" t="str">
            <v>h1-bus-6042</v>
          </cell>
          <cell r="B167" t="str">
            <v>h1</v>
          </cell>
          <cell r="C167" t="str">
            <v>bus</v>
          </cell>
          <cell r="D167">
            <v>6042</v>
          </cell>
          <cell r="E167" t="str">
            <v xml:space="preserve">	</v>
          </cell>
          <cell r="F167">
            <v>2.04</v>
          </cell>
        </row>
        <row r="168">
          <cell r="A168" t="str">
            <v>h1-bus-6051</v>
          </cell>
          <cell r="B168" t="str">
            <v>h1</v>
          </cell>
          <cell r="C168" t="str">
            <v>bus</v>
          </cell>
          <cell r="D168">
            <v>6051</v>
          </cell>
          <cell r="E168" t="str">
            <v xml:space="preserve">	</v>
          </cell>
          <cell r="F168">
            <v>11.34</v>
          </cell>
        </row>
        <row r="169">
          <cell r="A169" t="str">
            <v>h1-bus-6052</v>
          </cell>
          <cell r="B169" t="str">
            <v>h1</v>
          </cell>
          <cell r="C169" t="str">
            <v>bus</v>
          </cell>
          <cell r="D169">
            <v>6052</v>
          </cell>
          <cell r="E169" t="str">
            <v xml:space="preserve">	</v>
          </cell>
          <cell r="F169">
            <v>4.74</v>
          </cell>
        </row>
        <row r="170">
          <cell r="A170" t="str">
            <v>h1-bus-6061</v>
          </cell>
          <cell r="B170" t="str">
            <v>h1</v>
          </cell>
          <cell r="C170" t="str">
            <v>bus</v>
          </cell>
          <cell r="D170">
            <v>6061</v>
          </cell>
          <cell r="E170" t="str">
            <v xml:space="preserve">	</v>
          </cell>
          <cell r="F170">
            <v>5.77</v>
          </cell>
        </row>
        <row r="171">
          <cell r="A171" t="str">
            <v>h1-bus-6062</v>
          </cell>
          <cell r="B171" t="str">
            <v>h1</v>
          </cell>
          <cell r="C171" t="str">
            <v>bus</v>
          </cell>
          <cell r="D171">
            <v>6062</v>
          </cell>
          <cell r="E171" t="str">
            <v xml:space="preserve">	</v>
          </cell>
          <cell r="F171">
            <v>2.5499999999999998</v>
          </cell>
        </row>
        <row r="172">
          <cell r="A172" t="str">
            <v>h1-bus-6071</v>
          </cell>
          <cell r="B172" t="str">
            <v>h1</v>
          </cell>
          <cell r="C172" t="str">
            <v>bus</v>
          </cell>
          <cell r="D172">
            <v>6071</v>
          </cell>
          <cell r="E172" t="str">
            <v xml:space="preserve">	</v>
          </cell>
          <cell r="F172">
            <v>5.92</v>
          </cell>
        </row>
        <row r="173">
          <cell r="A173" t="str">
            <v>h1-bus-6072</v>
          </cell>
          <cell r="B173" t="str">
            <v>h1</v>
          </cell>
          <cell r="C173" t="str">
            <v>bus</v>
          </cell>
          <cell r="D173">
            <v>6072</v>
          </cell>
          <cell r="E173" t="str">
            <v xml:space="preserve">	</v>
          </cell>
          <cell r="F173">
            <v>2.91</v>
          </cell>
        </row>
        <row r="174">
          <cell r="A174" t="str">
            <v>h1-bus-6081</v>
          </cell>
          <cell r="B174" t="str">
            <v>h1</v>
          </cell>
          <cell r="C174" t="str">
            <v>bus</v>
          </cell>
          <cell r="D174">
            <v>6081</v>
          </cell>
          <cell r="E174" t="str">
            <v xml:space="preserve">	</v>
          </cell>
          <cell r="F174">
            <v>3.93</v>
          </cell>
        </row>
        <row r="175">
          <cell r="A175" t="str">
            <v>h1-bus-6082</v>
          </cell>
          <cell r="B175" t="str">
            <v>h1</v>
          </cell>
          <cell r="C175" t="str">
            <v>bus</v>
          </cell>
          <cell r="D175">
            <v>6082</v>
          </cell>
          <cell r="E175" t="str">
            <v xml:space="preserve">	</v>
          </cell>
          <cell r="F175">
            <v>1.49</v>
          </cell>
        </row>
        <row r="176">
          <cell r="A176" t="str">
            <v>h1-bus-6091</v>
          </cell>
          <cell r="B176" t="str">
            <v>h1</v>
          </cell>
          <cell r="C176" t="str">
            <v>bus</v>
          </cell>
          <cell r="D176">
            <v>6091</v>
          </cell>
          <cell r="E176" t="str">
            <v xml:space="preserve">	</v>
          </cell>
          <cell r="F176">
            <v>4.37</v>
          </cell>
        </row>
        <row r="177">
          <cell r="A177" t="str">
            <v>h1-bus-6092</v>
          </cell>
          <cell r="B177" t="str">
            <v>h1</v>
          </cell>
          <cell r="C177" t="str">
            <v>bus</v>
          </cell>
          <cell r="D177">
            <v>6092</v>
          </cell>
          <cell r="E177" t="str">
            <v xml:space="preserve">	</v>
          </cell>
          <cell r="F177">
            <v>7.16</v>
          </cell>
        </row>
        <row r="178">
          <cell r="A178" t="str">
            <v>h1-bus-6101</v>
          </cell>
          <cell r="B178" t="str">
            <v>h1</v>
          </cell>
          <cell r="C178" t="str">
            <v>bus</v>
          </cell>
          <cell r="D178">
            <v>6101</v>
          </cell>
          <cell r="E178" t="str">
            <v xml:space="preserve">	</v>
          </cell>
          <cell r="F178">
            <v>4.26</v>
          </cell>
        </row>
        <row r="179">
          <cell r="A179" t="str">
            <v>h1-bus-6102</v>
          </cell>
          <cell r="B179" t="str">
            <v>h1</v>
          </cell>
          <cell r="C179" t="str">
            <v>bus</v>
          </cell>
          <cell r="D179">
            <v>6102</v>
          </cell>
          <cell r="E179" t="str">
            <v xml:space="preserve">	</v>
          </cell>
          <cell r="F179">
            <v>1.83</v>
          </cell>
        </row>
        <row r="180">
          <cell r="A180" t="str">
            <v>h1-bus-6111</v>
          </cell>
          <cell r="B180" t="str">
            <v>h1</v>
          </cell>
          <cell r="C180" t="str">
            <v>bus</v>
          </cell>
          <cell r="D180">
            <v>6111</v>
          </cell>
          <cell r="E180" t="str">
            <v xml:space="preserve">	</v>
          </cell>
          <cell r="F180">
            <v>12.09</v>
          </cell>
        </row>
        <row r="181">
          <cell r="A181" t="str">
            <v>h1-bus-6112</v>
          </cell>
          <cell r="B181" t="str">
            <v>h1</v>
          </cell>
          <cell r="C181" t="str">
            <v>bus</v>
          </cell>
          <cell r="D181">
            <v>6112</v>
          </cell>
          <cell r="E181" t="str">
            <v xml:space="preserve">	</v>
          </cell>
          <cell r="F181">
            <v>6.13</v>
          </cell>
        </row>
        <row r="182">
          <cell r="A182" t="str">
            <v>h1-bus-6121</v>
          </cell>
          <cell r="B182" t="str">
            <v>h1</v>
          </cell>
          <cell r="C182" t="str">
            <v>bus</v>
          </cell>
          <cell r="D182">
            <v>6121</v>
          </cell>
          <cell r="E182" t="str">
            <v xml:space="preserve">	</v>
          </cell>
          <cell r="F182">
            <v>10.44</v>
          </cell>
        </row>
        <row r="183">
          <cell r="A183" t="str">
            <v>h1-bus-6122</v>
          </cell>
          <cell r="B183" t="str">
            <v>h1</v>
          </cell>
          <cell r="C183" t="str">
            <v>bus</v>
          </cell>
          <cell r="D183">
            <v>6122</v>
          </cell>
          <cell r="E183" t="str">
            <v xml:space="preserve">	</v>
          </cell>
          <cell r="F183">
            <v>9.1300000000000008</v>
          </cell>
        </row>
        <row r="184">
          <cell r="A184" t="str">
            <v>h1-bus-7011</v>
          </cell>
          <cell r="B184" t="str">
            <v>h1</v>
          </cell>
          <cell r="C184" t="str">
            <v>bus</v>
          </cell>
          <cell r="D184">
            <v>7011</v>
          </cell>
          <cell r="E184" t="str">
            <v xml:space="preserve">	</v>
          </cell>
          <cell r="F184">
            <v>5.87</v>
          </cell>
        </row>
        <row r="185">
          <cell r="A185" t="str">
            <v>h1-bus-7012</v>
          </cell>
          <cell r="B185" t="str">
            <v>h1</v>
          </cell>
          <cell r="C185" t="str">
            <v>bus</v>
          </cell>
          <cell r="D185">
            <v>7012</v>
          </cell>
          <cell r="E185" t="str">
            <v xml:space="preserve">	</v>
          </cell>
          <cell r="F185">
            <v>4.0599999999999996</v>
          </cell>
        </row>
        <row r="186">
          <cell r="A186" t="str">
            <v>h1-bus-7021</v>
          </cell>
          <cell r="B186" t="str">
            <v>h1</v>
          </cell>
          <cell r="C186" t="str">
            <v>bus</v>
          </cell>
          <cell r="D186">
            <v>7021</v>
          </cell>
          <cell r="E186" t="str">
            <v xml:space="preserve">	</v>
          </cell>
          <cell r="F186">
            <v>3.45</v>
          </cell>
        </row>
        <row r="187">
          <cell r="A187" t="str">
            <v>h1-bus-7022</v>
          </cell>
          <cell r="B187" t="str">
            <v>h1</v>
          </cell>
          <cell r="C187" t="str">
            <v>bus</v>
          </cell>
          <cell r="D187">
            <v>7022</v>
          </cell>
          <cell r="E187" t="str">
            <v xml:space="preserve">	</v>
          </cell>
          <cell r="F187">
            <v>4.22</v>
          </cell>
        </row>
        <row r="188">
          <cell r="A188" t="str">
            <v>h1-bus-7031</v>
          </cell>
          <cell r="B188" t="str">
            <v>h1</v>
          </cell>
          <cell r="C188" t="str">
            <v>bus</v>
          </cell>
          <cell r="D188">
            <v>7031</v>
          </cell>
          <cell r="E188" t="str">
            <v xml:space="preserve">	</v>
          </cell>
          <cell r="F188">
            <v>3.46</v>
          </cell>
        </row>
        <row r="189">
          <cell r="A189" t="str">
            <v>h1-bus-7032</v>
          </cell>
          <cell r="B189" t="str">
            <v>h1</v>
          </cell>
          <cell r="C189" t="str">
            <v>bus</v>
          </cell>
          <cell r="D189">
            <v>7032</v>
          </cell>
          <cell r="E189" t="str">
            <v xml:space="preserve">	</v>
          </cell>
          <cell r="F189">
            <v>3.6</v>
          </cell>
        </row>
        <row r="190">
          <cell r="A190" t="str">
            <v>h1-bus-7041</v>
          </cell>
          <cell r="B190" t="str">
            <v>h1</v>
          </cell>
          <cell r="C190" t="str">
            <v>bus</v>
          </cell>
          <cell r="D190">
            <v>7041</v>
          </cell>
          <cell r="E190" t="str">
            <v xml:space="preserve">	</v>
          </cell>
          <cell r="F190">
            <v>3.28</v>
          </cell>
        </row>
        <row r="191">
          <cell r="A191" t="str">
            <v>h1-bus-7042</v>
          </cell>
          <cell r="B191" t="str">
            <v>h1</v>
          </cell>
          <cell r="C191" t="str">
            <v>bus</v>
          </cell>
          <cell r="D191">
            <v>7042</v>
          </cell>
          <cell r="E191" t="str">
            <v xml:space="preserve">	</v>
          </cell>
          <cell r="F191">
            <v>1.3</v>
          </cell>
        </row>
        <row r="192">
          <cell r="A192" t="str">
            <v>h1-bus-7051</v>
          </cell>
          <cell r="B192" t="str">
            <v>h1</v>
          </cell>
          <cell r="C192" t="str">
            <v>bus</v>
          </cell>
          <cell r="D192">
            <v>7051</v>
          </cell>
          <cell r="E192" t="str">
            <v xml:space="preserve">	</v>
          </cell>
          <cell r="F192">
            <v>5.15</v>
          </cell>
        </row>
        <row r="193">
          <cell r="A193" t="str">
            <v>h1-bus-7052</v>
          </cell>
          <cell r="B193" t="str">
            <v>h1</v>
          </cell>
          <cell r="C193" t="str">
            <v>bus</v>
          </cell>
          <cell r="D193">
            <v>7052</v>
          </cell>
          <cell r="E193" t="str">
            <v xml:space="preserve">	</v>
          </cell>
          <cell r="F193">
            <v>3.47</v>
          </cell>
        </row>
        <row r="194">
          <cell r="A194" t="str">
            <v>h1-bus-7061</v>
          </cell>
          <cell r="B194" t="str">
            <v>h1</v>
          </cell>
          <cell r="C194" t="str">
            <v>bus</v>
          </cell>
          <cell r="D194">
            <v>7061</v>
          </cell>
          <cell r="E194" t="str">
            <v xml:space="preserve">	</v>
          </cell>
          <cell r="F194">
            <v>3.48</v>
          </cell>
        </row>
        <row r="195">
          <cell r="A195" t="str">
            <v>h1-bus-7062</v>
          </cell>
          <cell r="B195" t="str">
            <v>h1</v>
          </cell>
          <cell r="C195" t="str">
            <v>bus</v>
          </cell>
          <cell r="D195">
            <v>7062</v>
          </cell>
          <cell r="E195" t="str">
            <v xml:space="preserve">	</v>
          </cell>
          <cell r="F195">
            <v>1.84</v>
          </cell>
        </row>
        <row r="196">
          <cell r="A196" t="str">
            <v>h1-bus-7071</v>
          </cell>
          <cell r="B196" t="str">
            <v>h1</v>
          </cell>
          <cell r="C196" t="str">
            <v>bus</v>
          </cell>
          <cell r="D196">
            <v>7071</v>
          </cell>
          <cell r="E196" t="str">
            <v xml:space="preserve">	</v>
          </cell>
          <cell r="F196">
            <v>1.91</v>
          </cell>
        </row>
        <row r="197">
          <cell r="A197" t="str">
            <v>h1-bus-7072</v>
          </cell>
          <cell r="B197" t="str">
            <v>h1</v>
          </cell>
          <cell r="C197" t="str">
            <v>bus</v>
          </cell>
          <cell r="D197">
            <v>7072</v>
          </cell>
          <cell r="E197" t="str">
            <v xml:space="preserve">	</v>
          </cell>
          <cell r="F197">
            <v>0.6</v>
          </cell>
        </row>
        <row r="198">
          <cell r="A198" t="str">
            <v>h1-bus-7081</v>
          </cell>
          <cell r="B198" t="str">
            <v>h1</v>
          </cell>
          <cell r="C198" t="str">
            <v>bus</v>
          </cell>
          <cell r="D198">
            <v>7081</v>
          </cell>
          <cell r="E198" t="str">
            <v xml:space="preserve">	</v>
          </cell>
          <cell r="F198">
            <v>2.5499999999999998</v>
          </cell>
        </row>
        <row r="199">
          <cell r="A199" t="str">
            <v>h1-bus-7082</v>
          </cell>
          <cell r="B199" t="str">
            <v>h1</v>
          </cell>
          <cell r="C199" t="str">
            <v>bus</v>
          </cell>
          <cell r="D199">
            <v>7082</v>
          </cell>
          <cell r="E199" t="str">
            <v xml:space="preserve">	</v>
          </cell>
          <cell r="F199">
            <v>0.98</v>
          </cell>
        </row>
        <row r="200">
          <cell r="A200" t="str">
            <v>h1-bus-9011</v>
          </cell>
          <cell r="B200" t="str">
            <v>h1</v>
          </cell>
          <cell r="C200" t="str">
            <v>bus</v>
          </cell>
          <cell r="D200">
            <v>9011</v>
          </cell>
          <cell r="E200" t="str">
            <v xml:space="preserve">	</v>
          </cell>
          <cell r="F200">
            <v>9.32</v>
          </cell>
        </row>
        <row r="201">
          <cell r="A201" t="str">
            <v>h1-bus-9012</v>
          </cell>
          <cell r="B201" t="str">
            <v>h1</v>
          </cell>
          <cell r="C201" t="str">
            <v>bus</v>
          </cell>
          <cell r="D201">
            <v>9012</v>
          </cell>
          <cell r="E201" t="str">
            <v xml:space="preserve">	</v>
          </cell>
          <cell r="F201">
            <v>10.32</v>
          </cell>
        </row>
        <row r="202">
          <cell r="A202" t="str">
            <v>h1-bus-9021</v>
          </cell>
          <cell r="B202" t="str">
            <v>h1</v>
          </cell>
          <cell r="C202" t="str">
            <v>bus</v>
          </cell>
          <cell r="D202">
            <v>9021</v>
          </cell>
          <cell r="E202" t="str">
            <v xml:space="preserve">	</v>
          </cell>
          <cell r="F202">
            <v>2.94</v>
          </cell>
        </row>
        <row r="203">
          <cell r="A203" t="str">
            <v>h1-bus-9022</v>
          </cell>
          <cell r="B203" t="str">
            <v>h1</v>
          </cell>
          <cell r="C203" t="str">
            <v>bus</v>
          </cell>
          <cell r="D203">
            <v>9022</v>
          </cell>
          <cell r="E203" t="str">
            <v xml:space="preserve">	</v>
          </cell>
          <cell r="F203">
            <v>3.32</v>
          </cell>
        </row>
        <row r="204">
          <cell r="A204" t="str">
            <v>h1-bus-11</v>
          </cell>
          <cell r="B204" t="str">
            <v>h1</v>
          </cell>
          <cell r="C204" t="str">
            <v>bus</v>
          </cell>
          <cell r="D204">
            <v>11</v>
          </cell>
          <cell r="E204" t="str">
            <v xml:space="preserve">	</v>
          </cell>
          <cell r="F204">
            <v>2.16</v>
          </cell>
        </row>
        <row r="205">
          <cell r="A205" t="str">
            <v>h1-bus-12</v>
          </cell>
          <cell r="B205" t="str">
            <v>h1</v>
          </cell>
          <cell r="C205" t="str">
            <v>bus</v>
          </cell>
          <cell r="D205">
            <v>12</v>
          </cell>
          <cell r="E205" t="str">
            <v xml:space="preserve">	</v>
          </cell>
          <cell r="F205">
            <v>5.25</v>
          </cell>
        </row>
        <row r="206">
          <cell r="A206" t="str">
            <v>h1-bus-21</v>
          </cell>
          <cell r="B206" t="str">
            <v>h1</v>
          </cell>
          <cell r="C206" t="str">
            <v>bus</v>
          </cell>
          <cell r="D206">
            <v>21</v>
          </cell>
          <cell r="E206" t="str">
            <v xml:space="preserve">	</v>
          </cell>
          <cell r="F206">
            <v>5.45</v>
          </cell>
        </row>
        <row r="207">
          <cell r="A207" t="str">
            <v>h1-bus-22</v>
          </cell>
          <cell r="B207" t="str">
            <v>h1</v>
          </cell>
          <cell r="C207" t="str">
            <v>bus</v>
          </cell>
          <cell r="D207">
            <v>22</v>
          </cell>
          <cell r="E207" t="str">
            <v xml:space="preserve">	</v>
          </cell>
          <cell r="F207">
            <v>3.26</v>
          </cell>
        </row>
        <row r="208">
          <cell r="A208" t="str">
            <v>h1-bus-8021</v>
          </cell>
          <cell r="B208" t="str">
            <v>h1</v>
          </cell>
          <cell r="C208" t="str">
            <v>bus</v>
          </cell>
          <cell r="D208">
            <v>8021</v>
          </cell>
          <cell r="E208" t="str">
            <v xml:space="preserve">	</v>
          </cell>
          <cell r="F208">
            <v>3.03</v>
          </cell>
        </row>
        <row r="209">
          <cell r="A209" t="str">
            <v>h1-bus-8022</v>
          </cell>
          <cell r="B209" t="str">
            <v>h1</v>
          </cell>
          <cell r="C209" t="str">
            <v>bus</v>
          </cell>
          <cell r="D209">
            <v>8022</v>
          </cell>
          <cell r="E209" t="str">
            <v xml:space="preserve">	</v>
          </cell>
          <cell r="F209">
            <v>1.1000000000000001</v>
          </cell>
        </row>
        <row r="210">
          <cell r="A210" t="str">
            <v>h1-bus-101</v>
          </cell>
          <cell r="B210" t="str">
            <v>h1</v>
          </cell>
          <cell r="C210" t="str">
            <v>bus</v>
          </cell>
          <cell r="D210">
            <v>101</v>
          </cell>
          <cell r="E210" t="str">
            <v xml:space="preserve">	</v>
          </cell>
          <cell r="F210">
            <v>0.09</v>
          </cell>
        </row>
        <row r="211">
          <cell r="A211" t="str">
            <v>h1-bus-102</v>
          </cell>
          <cell r="B211" t="str">
            <v>h1</v>
          </cell>
          <cell r="C211" t="str">
            <v>bus</v>
          </cell>
          <cell r="D211">
            <v>102</v>
          </cell>
          <cell r="E211" t="str">
            <v xml:space="preserve">	</v>
          </cell>
          <cell r="F211">
            <v>0.09</v>
          </cell>
        </row>
        <row r="212">
          <cell r="A212" t="str">
            <v>h1-bus-201</v>
          </cell>
          <cell r="B212" t="str">
            <v>h1</v>
          </cell>
          <cell r="C212" t="str">
            <v>bus</v>
          </cell>
          <cell r="D212">
            <v>201</v>
          </cell>
          <cell r="E212" t="str">
            <v xml:space="preserve">	</v>
          </cell>
          <cell r="F212">
            <v>0.12</v>
          </cell>
        </row>
        <row r="213">
          <cell r="A213" t="str">
            <v>h1-bus-202</v>
          </cell>
          <cell r="B213" t="str">
            <v>h1</v>
          </cell>
          <cell r="C213" t="str">
            <v>bus</v>
          </cell>
          <cell r="D213">
            <v>202</v>
          </cell>
          <cell r="E213" t="str">
            <v xml:space="preserve">	</v>
          </cell>
          <cell r="F213">
            <v>0.12</v>
          </cell>
        </row>
        <row r="214">
          <cell r="A214" t="str">
            <v>h1-bus-301</v>
          </cell>
          <cell r="B214" t="str">
            <v>h1</v>
          </cell>
          <cell r="C214" t="str">
            <v>bus</v>
          </cell>
          <cell r="D214">
            <v>301</v>
          </cell>
          <cell r="E214" t="str">
            <v xml:space="preserve">	</v>
          </cell>
          <cell r="F214">
            <v>0.08</v>
          </cell>
        </row>
        <row r="215">
          <cell r="A215" t="str">
            <v>h1-bus-302</v>
          </cell>
          <cell r="B215" t="str">
            <v>h1</v>
          </cell>
          <cell r="C215" t="str">
            <v>bus</v>
          </cell>
          <cell r="D215">
            <v>302</v>
          </cell>
          <cell r="E215" t="str">
            <v xml:space="preserve">	</v>
          </cell>
          <cell r="F215">
            <v>0.08</v>
          </cell>
        </row>
        <row r="216">
          <cell r="A216" t="str">
            <v>h1-bus-401</v>
          </cell>
          <cell r="B216" t="str">
            <v>h1</v>
          </cell>
          <cell r="C216" t="str">
            <v>bus</v>
          </cell>
          <cell r="D216">
            <v>401</v>
          </cell>
          <cell r="E216" t="str">
            <v xml:space="preserve">	</v>
          </cell>
          <cell r="F216">
            <v>0.12</v>
          </cell>
        </row>
        <row r="217">
          <cell r="A217" t="str">
            <v>h1-bus-402</v>
          </cell>
          <cell r="B217" t="str">
            <v>h1</v>
          </cell>
          <cell r="C217" t="str">
            <v>bus</v>
          </cell>
          <cell r="D217">
            <v>402</v>
          </cell>
          <cell r="E217" t="str">
            <v xml:space="preserve">	</v>
          </cell>
          <cell r="F217">
            <v>0.12</v>
          </cell>
        </row>
        <row r="218">
          <cell r="A218" t="str">
            <v>h1-bus-501</v>
          </cell>
          <cell r="B218" t="str">
            <v>h1</v>
          </cell>
          <cell r="C218" t="str">
            <v>bus</v>
          </cell>
          <cell r="D218">
            <v>501</v>
          </cell>
          <cell r="E218" t="str">
            <v xml:space="preserve">	</v>
          </cell>
          <cell r="F218">
            <v>0.16</v>
          </cell>
        </row>
        <row r="219">
          <cell r="A219" t="str">
            <v>h1-bus-502</v>
          </cell>
          <cell r="B219" t="str">
            <v>h1</v>
          </cell>
          <cell r="C219" t="str">
            <v>bus</v>
          </cell>
          <cell r="D219">
            <v>502</v>
          </cell>
          <cell r="E219" t="str">
            <v xml:space="preserve">	</v>
          </cell>
          <cell r="F219">
            <v>0.16</v>
          </cell>
        </row>
        <row r="220">
          <cell r="A220" t="str">
            <v>h1-bus-601</v>
          </cell>
          <cell r="B220" t="str">
            <v>h1</v>
          </cell>
          <cell r="C220" t="str">
            <v>bus</v>
          </cell>
          <cell r="D220">
            <v>601</v>
          </cell>
          <cell r="E220" t="str">
            <v xml:space="preserve">	</v>
          </cell>
          <cell r="F220">
            <v>0.17</v>
          </cell>
        </row>
        <row r="221">
          <cell r="A221" t="str">
            <v>h1-bus-602</v>
          </cell>
          <cell r="B221" t="str">
            <v>h1</v>
          </cell>
          <cell r="C221" t="str">
            <v>bus</v>
          </cell>
          <cell r="D221">
            <v>602</v>
          </cell>
          <cell r="E221" t="str">
            <v xml:space="preserve">	</v>
          </cell>
          <cell r="F221">
            <v>0.17</v>
          </cell>
        </row>
        <row r="222">
          <cell r="A222" t="str">
            <v>h1-bus-701</v>
          </cell>
          <cell r="B222" t="str">
            <v>h1</v>
          </cell>
          <cell r="C222" t="str">
            <v>bus</v>
          </cell>
          <cell r="D222">
            <v>701</v>
          </cell>
          <cell r="E222" t="str">
            <v xml:space="preserve">	</v>
          </cell>
          <cell r="F222">
            <v>7.0000000000000007E-2</v>
          </cell>
        </row>
        <row r="223">
          <cell r="A223" t="str">
            <v>h1-bus-702</v>
          </cell>
          <cell r="B223" t="str">
            <v>h1</v>
          </cell>
          <cell r="C223" t="str">
            <v>bus</v>
          </cell>
          <cell r="D223">
            <v>702</v>
          </cell>
          <cell r="E223" t="str">
            <v xml:space="preserve">	</v>
          </cell>
          <cell r="F223">
            <v>7.0000000000000007E-2</v>
          </cell>
        </row>
        <row r="224">
          <cell r="A224" t="str">
            <v>h1-bus-801</v>
          </cell>
          <cell r="B224" t="str">
            <v>h1</v>
          </cell>
          <cell r="C224" t="str">
            <v>bus</v>
          </cell>
          <cell r="D224">
            <v>801</v>
          </cell>
          <cell r="E224" t="str">
            <v xml:space="preserve">	</v>
          </cell>
          <cell r="F224">
            <v>0.09</v>
          </cell>
        </row>
        <row r="225">
          <cell r="A225" t="str">
            <v>h1-bus-802</v>
          </cell>
          <cell r="B225" t="str">
            <v>h1</v>
          </cell>
          <cell r="C225" t="str">
            <v>bus</v>
          </cell>
          <cell r="D225">
            <v>802</v>
          </cell>
          <cell r="E225" t="str">
            <v xml:space="preserve">	</v>
          </cell>
          <cell r="F225">
            <v>0.09</v>
          </cell>
        </row>
        <row r="226">
          <cell r="A226" t="str">
            <v>h1-mer-MODO:</v>
          </cell>
          <cell r="B226" t="str">
            <v>h1</v>
          </cell>
          <cell r="C226" t="str">
            <v>mer</v>
          </cell>
          <cell r="D226" t="str">
            <v>MODO:</v>
          </cell>
          <cell r="F226" t="str">
            <v>mer</v>
          </cell>
        </row>
        <row r="227">
          <cell r="A227" t="str">
            <v>h1-mer-LINEA</v>
          </cell>
          <cell r="B227" t="str">
            <v>h1</v>
          </cell>
          <cell r="C227" t="str">
            <v>mer</v>
          </cell>
          <cell r="D227" t="str">
            <v>LINEA</v>
          </cell>
          <cell r="E227" t="str">
            <v xml:space="preserve">	</v>
          </cell>
          <cell r="F227" t="str">
            <v>FLOTA</v>
          </cell>
        </row>
        <row r="228">
          <cell r="A228" t="str">
            <v>h1-mer-80001</v>
          </cell>
          <cell r="B228" t="str">
            <v>h1</v>
          </cell>
          <cell r="C228" t="str">
            <v>mer</v>
          </cell>
          <cell r="D228">
            <v>80001</v>
          </cell>
          <cell r="E228" t="str">
            <v xml:space="preserve">	</v>
          </cell>
          <cell r="F228">
            <v>3.64</v>
          </cell>
        </row>
        <row r="229">
          <cell r="A229" t="str">
            <v>h1-mer-80002</v>
          </cell>
          <cell r="B229" t="str">
            <v>h1</v>
          </cell>
          <cell r="C229" t="str">
            <v>mer</v>
          </cell>
          <cell r="D229">
            <v>80002</v>
          </cell>
          <cell r="E229" t="str">
            <v xml:space="preserve">	</v>
          </cell>
          <cell r="F229">
            <v>3.64</v>
          </cell>
        </row>
        <row r="230">
          <cell r="A230" t="str">
            <v>h1-mer-81001</v>
          </cell>
          <cell r="B230" t="str">
            <v>h1</v>
          </cell>
          <cell r="C230" t="str">
            <v>mer</v>
          </cell>
          <cell r="D230">
            <v>81001</v>
          </cell>
          <cell r="E230" t="str">
            <v xml:space="preserve">	</v>
          </cell>
          <cell r="F230">
            <v>0.03</v>
          </cell>
        </row>
        <row r="231">
          <cell r="A231" t="str">
            <v>h1-mer-81002</v>
          </cell>
          <cell r="B231" t="str">
            <v>h1</v>
          </cell>
          <cell r="C231" t="str">
            <v>mer</v>
          </cell>
          <cell r="D231">
            <v>81002</v>
          </cell>
          <cell r="E231" t="str">
            <v xml:space="preserve">	</v>
          </cell>
          <cell r="F231">
            <v>0.03</v>
          </cell>
        </row>
        <row r="232">
          <cell r="A232" t="str">
            <v>h1-txc-MODO:</v>
          </cell>
          <cell r="B232" t="str">
            <v>h1</v>
          </cell>
          <cell r="C232" t="str">
            <v>txc</v>
          </cell>
          <cell r="D232" t="str">
            <v>MODO:</v>
          </cell>
          <cell r="F232" t="str">
            <v>txc</v>
          </cell>
        </row>
        <row r="233">
          <cell r="A233" t="str">
            <v>h1-txc-LINEA</v>
          </cell>
          <cell r="B233" t="str">
            <v>h1</v>
          </cell>
          <cell r="C233" t="str">
            <v>txc</v>
          </cell>
          <cell r="D233" t="str">
            <v>LINEA</v>
          </cell>
          <cell r="E233" t="str">
            <v xml:space="preserve">	</v>
          </cell>
          <cell r="F233" t="str">
            <v>FLOTA</v>
          </cell>
        </row>
        <row r="234">
          <cell r="A234" t="str">
            <v>h1-txc-101</v>
          </cell>
          <cell r="B234" t="str">
            <v>h1</v>
          </cell>
          <cell r="C234" t="str">
            <v>txc</v>
          </cell>
          <cell r="D234">
            <v>101</v>
          </cell>
          <cell r="E234" t="str">
            <v xml:space="preserve">	</v>
          </cell>
          <cell r="F234">
            <v>10.66</v>
          </cell>
        </row>
        <row r="235">
          <cell r="A235" t="str">
            <v>h1-txc-102</v>
          </cell>
          <cell r="B235" t="str">
            <v>h1</v>
          </cell>
          <cell r="C235" t="str">
            <v>txc</v>
          </cell>
          <cell r="D235">
            <v>102</v>
          </cell>
          <cell r="E235" t="str">
            <v xml:space="preserve">	</v>
          </cell>
          <cell r="F235">
            <v>0.28000000000000003</v>
          </cell>
        </row>
        <row r="236">
          <cell r="A236" t="str">
            <v>h1-txc-1011</v>
          </cell>
          <cell r="B236" t="str">
            <v>h1</v>
          </cell>
          <cell r="C236" t="str">
            <v>txc</v>
          </cell>
          <cell r="D236">
            <v>1011</v>
          </cell>
          <cell r="E236" t="str">
            <v xml:space="preserve">	</v>
          </cell>
          <cell r="F236">
            <v>0.72</v>
          </cell>
        </row>
        <row r="237">
          <cell r="A237" t="str">
            <v>h1-txc-1012</v>
          </cell>
          <cell r="B237" t="str">
            <v>h1</v>
          </cell>
          <cell r="C237" t="str">
            <v>txc</v>
          </cell>
          <cell r="D237">
            <v>1012</v>
          </cell>
          <cell r="E237" t="str">
            <v xml:space="preserve">	</v>
          </cell>
          <cell r="F237">
            <v>0.1</v>
          </cell>
        </row>
        <row r="238">
          <cell r="A238" t="str">
            <v>h1-txc-1001</v>
          </cell>
          <cell r="B238" t="str">
            <v>h1</v>
          </cell>
          <cell r="C238" t="str">
            <v>txc</v>
          </cell>
          <cell r="D238">
            <v>1001</v>
          </cell>
          <cell r="E238" t="str">
            <v xml:space="preserve">	</v>
          </cell>
          <cell r="F238">
            <v>0.63</v>
          </cell>
        </row>
        <row r="239">
          <cell r="A239" t="str">
            <v>h1-txc-1002</v>
          </cell>
          <cell r="B239" t="str">
            <v>h1</v>
          </cell>
          <cell r="C239" t="str">
            <v>txc</v>
          </cell>
          <cell r="D239">
            <v>1002</v>
          </cell>
          <cell r="E239" t="str">
            <v xml:space="preserve">	</v>
          </cell>
          <cell r="F239">
            <v>0.15</v>
          </cell>
        </row>
        <row r="240">
          <cell r="A240" t="str">
            <v>h1-txc-1021</v>
          </cell>
          <cell r="B240" t="str">
            <v>h1</v>
          </cell>
          <cell r="C240" t="str">
            <v>txc</v>
          </cell>
          <cell r="D240">
            <v>1021</v>
          </cell>
          <cell r="E240" t="str">
            <v xml:space="preserve">	</v>
          </cell>
          <cell r="F240">
            <v>0.36</v>
          </cell>
        </row>
        <row r="241">
          <cell r="A241" t="str">
            <v>h1-txc-1022</v>
          </cell>
          <cell r="B241" t="str">
            <v>h1</v>
          </cell>
          <cell r="C241" t="str">
            <v>txc</v>
          </cell>
          <cell r="D241">
            <v>1022</v>
          </cell>
          <cell r="E241" t="str">
            <v xml:space="preserve">	</v>
          </cell>
          <cell r="F241">
            <v>1.85</v>
          </cell>
        </row>
        <row r="242">
          <cell r="A242" t="str">
            <v>h1-txc-10001</v>
          </cell>
          <cell r="B242" t="str">
            <v>h1</v>
          </cell>
          <cell r="C242" t="str">
            <v>txc</v>
          </cell>
          <cell r="D242">
            <v>10001</v>
          </cell>
          <cell r="E242" t="str">
            <v xml:space="preserve">	</v>
          </cell>
          <cell r="F242">
            <v>3.53</v>
          </cell>
        </row>
        <row r="243">
          <cell r="A243" t="str">
            <v>h1-txc-10002</v>
          </cell>
          <cell r="B243" t="str">
            <v>h1</v>
          </cell>
          <cell r="C243" t="str">
            <v>txc</v>
          </cell>
          <cell r="D243">
            <v>10002</v>
          </cell>
          <cell r="E243" t="str">
            <v xml:space="preserve">	</v>
          </cell>
          <cell r="F243">
            <v>6.82</v>
          </cell>
        </row>
        <row r="244">
          <cell r="A244" t="str">
            <v>h1-txc-10011</v>
          </cell>
          <cell r="B244" t="str">
            <v>h1</v>
          </cell>
          <cell r="C244" t="str">
            <v>txc</v>
          </cell>
          <cell r="D244">
            <v>10011</v>
          </cell>
          <cell r="E244" t="str">
            <v xml:space="preserve">	</v>
          </cell>
          <cell r="F244">
            <v>0.38</v>
          </cell>
        </row>
        <row r="245">
          <cell r="A245" t="str">
            <v>h1-txc-10012</v>
          </cell>
          <cell r="B245" t="str">
            <v>h1</v>
          </cell>
          <cell r="C245" t="str">
            <v>txc</v>
          </cell>
          <cell r="D245">
            <v>10012</v>
          </cell>
          <cell r="E245" t="str">
            <v xml:space="preserve">	</v>
          </cell>
          <cell r="F245">
            <v>5.36</v>
          </cell>
        </row>
        <row r="246">
          <cell r="A246" t="str">
            <v>h1-txc-10211</v>
          </cell>
          <cell r="B246" t="str">
            <v>h1</v>
          </cell>
          <cell r="C246" t="str">
            <v>txc</v>
          </cell>
          <cell r="D246">
            <v>10211</v>
          </cell>
          <cell r="E246" t="str">
            <v xml:space="preserve">	</v>
          </cell>
          <cell r="F246">
            <v>0.21</v>
          </cell>
        </row>
        <row r="247">
          <cell r="A247" t="str">
            <v>h1-txc-10212</v>
          </cell>
          <cell r="B247" t="str">
            <v>h1</v>
          </cell>
          <cell r="C247" t="str">
            <v>txc</v>
          </cell>
          <cell r="D247">
            <v>10212</v>
          </cell>
          <cell r="E247" t="str">
            <v xml:space="preserve">	</v>
          </cell>
          <cell r="F247">
            <v>0.13</v>
          </cell>
        </row>
        <row r="248">
          <cell r="A248" t="str">
            <v>h1-txc-10201</v>
          </cell>
          <cell r="B248" t="str">
            <v>h1</v>
          </cell>
          <cell r="C248" t="str">
            <v>txc</v>
          </cell>
          <cell r="D248">
            <v>10201</v>
          </cell>
          <cell r="E248" t="str">
            <v xml:space="preserve">	</v>
          </cell>
          <cell r="F248">
            <v>0.12</v>
          </cell>
        </row>
        <row r="249">
          <cell r="A249" t="str">
            <v>h1-txc-10202</v>
          </cell>
          <cell r="B249" t="str">
            <v>h1</v>
          </cell>
          <cell r="C249" t="str">
            <v>txc</v>
          </cell>
          <cell r="D249">
            <v>10202</v>
          </cell>
          <cell r="E249" t="str">
            <v xml:space="preserve">	</v>
          </cell>
          <cell r="F249">
            <v>0.14000000000000001</v>
          </cell>
        </row>
        <row r="250">
          <cell r="A250" t="str">
            <v>h1-txc-10501</v>
          </cell>
          <cell r="B250" t="str">
            <v>h1</v>
          </cell>
          <cell r="C250" t="str">
            <v>txc</v>
          </cell>
          <cell r="D250">
            <v>10501</v>
          </cell>
          <cell r="E250" t="str">
            <v xml:space="preserve">	</v>
          </cell>
          <cell r="F250">
            <v>0.49</v>
          </cell>
        </row>
        <row r="251">
          <cell r="A251" t="str">
            <v>h1-txc-10502</v>
          </cell>
          <cell r="B251" t="str">
            <v>h1</v>
          </cell>
          <cell r="C251" t="str">
            <v>txc</v>
          </cell>
          <cell r="D251">
            <v>10502</v>
          </cell>
          <cell r="E251" t="str">
            <v xml:space="preserve">	</v>
          </cell>
          <cell r="F251">
            <v>0.49</v>
          </cell>
        </row>
        <row r="252">
          <cell r="A252" t="str">
            <v>h1-txc-10611</v>
          </cell>
          <cell r="B252" t="str">
            <v>h1</v>
          </cell>
          <cell r="C252" t="str">
            <v>txc</v>
          </cell>
          <cell r="D252">
            <v>10611</v>
          </cell>
          <cell r="E252" t="str">
            <v xml:space="preserve">	</v>
          </cell>
          <cell r="F252">
            <v>0.19</v>
          </cell>
        </row>
        <row r="253">
          <cell r="A253" t="str">
            <v>h1-txc-10612</v>
          </cell>
          <cell r="B253" t="str">
            <v>h1</v>
          </cell>
          <cell r="C253" t="str">
            <v>txc</v>
          </cell>
          <cell r="D253">
            <v>10612</v>
          </cell>
          <cell r="E253" t="str">
            <v xml:space="preserve">	</v>
          </cell>
          <cell r="F253">
            <v>0.13</v>
          </cell>
        </row>
        <row r="254">
          <cell r="A254" t="str">
            <v>h1-txc-10601</v>
          </cell>
          <cell r="B254" t="str">
            <v>h1</v>
          </cell>
          <cell r="C254" t="str">
            <v>txc</v>
          </cell>
          <cell r="D254">
            <v>10601</v>
          </cell>
          <cell r="E254" t="str">
            <v xml:space="preserve">	</v>
          </cell>
          <cell r="F254">
            <v>17.63</v>
          </cell>
        </row>
        <row r="255">
          <cell r="A255" t="str">
            <v>h1-txc-10602</v>
          </cell>
          <cell r="B255" t="str">
            <v>h1</v>
          </cell>
          <cell r="C255" t="str">
            <v>txc</v>
          </cell>
          <cell r="D255">
            <v>10602</v>
          </cell>
          <cell r="E255" t="str">
            <v xml:space="preserve">	</v>
          </cell>
          <cell r="F255">
            <v>0.63</v>
          </cell>
        </row>
        <row r="256">
          <cell r="A256" t="str">
            <v>h1-txc-10701</v>
          </cell>
          <cell r="B256" t="str">
            <v>h1</v>
          </cell>
          <cell r="C256" t="str">
            <v>txc</v>
          </cell>
          <cell r="D256">
            <v>10701</v>
          </cell>
          <cell r="E256" t="str">
            <v xml:space="preserve">	</v>
          </cell>
          <cell r="F256">
            <v>0.31</v>
          </cell>
        </row>
        <row r="257">
          <cell r="A257" t="str">
            <v>h1-txc-10702</v>
          </cell>
          <cell r="B257" t="str">
            <v>h1</v>
          </cell>
          <cell r="C257" t="str">
            <v>txc</v>
          </cell>
          <cell r="D257">
            <v>10702</v>
          </cell>
          <cell r="E257" t="str">
            <v xml:space="preserve">	</v>
          </cell>
          <cell r="F257">
            <v>5.71</v>
          </cell>
        </row>
        <row r="258">
          <cell r="A258" t="str">
            <v>h1-txc-11601</v>
          </cell>
          <cell r="B258" t="str">
            <v>h1</v>
          </cell>
          <cell r="C258" t="str">
            <v>txc</v>
          </cell>
          <cell r="D258">
            <v>11601</v>
          </cell>
          <cell r="E258" t="str">
            <v xml:space="preserve">	</v>
          </cell>
          <cell r="F258">
            <v>0.28000000000000003</v>
          </cell>
        </row>
        <row r="259">
          <cell r="A259" t="str">
            <v>h1-txc-11602</v>
          </cell>
          <cell r="B259" t="str">
            <v>h1</v>
          </cell>
          <cell r="C259" t="str">
            <v>txc</v>
          </cell>
          <cell r="D259">
            <v>11602</v>
          </cell>
          <cell r="E259" t="str">
            <v xml:space="preserve">	</v>
          </cell>
          <cell r="F259">
            <v>0.44</v>
          </cell>
        </row>
        <row r="260">
          <cell r="A260" t="str">
            <v>h1-txc-11801</v>
          </cell>
          <cell r="B260" t="str">
            <v>h1</v>
          </cell>
          <cell r="C260" t="str">
            <v>txc</v>
          </cell>
          <cell r="D260">
            <v>11801</v>
          </cell>
          <cell r="E260" t="str">
            <v xml:space="preserve">	</v>
          </cell>
          <cell r="F260">
            <v>0.28999999999999998</v>
          </cell>
        </row>
        <row r="261">
          <cell r="A261" t="str">
            <v>h1-txc-11802</v>
          </cell>
          <cell r="B261" t="str">
            <v>h1</v>
          </cell>
          <cell r="C261" t="str">
            <v>txc</v>
          </cell>
          <cell r="D261">
            <v>11802</v>
          </cell>
          <cell r="E261" t="str">
            <v xml:space="preserve">	</v>
          </cell>
          <cell r="F261">
            <v>3.04</v>
          </cell>
        </row>
        <row r="262">
          <cell r="A262" t="str">
            <v>h1-txc-11901</v>
          </cell>
          <cell r="B262" t="str">
            <v>h1</v>
          </cell>
          <cell r="C262" t="str">
            <v>txc</v>
          </cell>
          <cell r="D262">
            <v>11901</v>
          </cell>
          <cell r="E262" t="str">
            <v xml:space="preserve">	</v>
          </cell>
          <cell r="F262">
            <v>0.41</v>
          </cell>
        </row>
        <row r="263">
          <cell r="A263" t="str">
            <v>h1-txc-11902</v>
          </cell>
          <cell r="B263" t="str">
            <v>h1</v>
          </cell>
          <cell r="C263" t="str">
            <v>txc</v>
          </cell>
          <cell r="D263">
            <v>11902</v>
          </cell>
          <cell r="E263" t="str">
            <v xml:space="preserve">	</v>
          </cell>
          <cell r="F263">
            <v>0.44</v>
          </cell>
        </row>
        <row r="264">
          <cell r="A264" t="str">
            <v>h1-txc-1201</v>
          </cell>
          <cell r="B264" t="str">
            <v>h1</v>
          </cell>
          <cell r="C264" t="str">
            <v>txc</v>
          </cell>
          <cell r="D264">
            <v>1201</v>
          </cell>
          <cell r="E264" t="str">
            <v xml:space="preserve">	</v>
          </cell>
          <cell r="F264">
            <v>0.2</v>
          </cell>
        </row>
        <row r="265">
          <cell r="A265" t="str">
            <v>h1-txc-1202</v>
          </cell>
          <cell r="B265" t="str">
            <v>h1</v>
          </cell>
          <cell r="C265" t="str">
            <v>txc</v>
          </cell>
          <cell r="D265">
            <v>1202</v>
          </cell>
          <cell r="E265" t="str">
            <v xml:space="preserve">	</v>
          </cell>
          <cell r="F265">
            <v>1.05</v>
          </cell>
        </row>
        <row r="266">
          <cell r="A266" t="str">
            <v>h1-txc-12001</v>
          </cell>
          <cell r="B266" t="str">
            <v>h1</v>
          </cell>
          <cell r="C266" t="str">
            <v>txc</v>
          </cell>
          <cell r="D266">
            <v>12001</v>
          </cell>
          <cell r="E266" t="str">
            <v xml:space="preserve">	</v>
          </cell>
          <cell r="F266">
            <v>0.37</v>
          </cell>
        </row>
        <row r="267">
          <cell r="A267" t="str">
            <v>h1-txc-12002</v>
          </cell>
          <cell r="B267" t="str">
            <v>h1</v>
          </cell>
          <cell r="C267" t="str">
            <v>txc</v>
          </cell>
          <cell r="D267">
            <v>12002</v>
          </cell>
          <cell r="E267" t="str">
            <v xml:space="preserve">	</v>
          </cell>
          <cell r="F267">
            <v>0.37</v>
          </cell>
        </row>
        <row r="268">
          <cell r="A268" t="str">
            <v>h1-txc-12011</v>
          </cell>
          <cell r="B268" t="str">
            <v>h1</v>
          </cell>
          <cell r="C268" t="str">
            <v>txc</v>
          </cell>
          <cell r="D268">
            <v>12011</v>
          </cell>
          <cell r="E268" t="str">
            <v xml:space="preserve">	</v>
          </cell>
          <cell r="F268">
            <v>0.96</v>
          </cell>
        </row>
        <row r="269">
          <cell r="A269" t="str">
            <v>h1-txc-12012</v>
          </cell>
          <cell r="B269" t="str">
            <v>h1</v>
          </cell>
          <cell r="C269" t="str">
            <v>txc</v>
          </cell>
          <cell r="D269">
            <v>12012</v>
          </cell>
          <cell r="E269" t="str">
            <v xml:space="preserve">	</v>
          </cell>
          <cell r="F269">
            <v>0.36</v>
          </cell>
        </row>
        <row r="270">
          <cell r="A270" t="str">
            <v>h1-txc-12601</v>
          </cell>
          <cell r="B270" t="str">
            <v>h1</v>
          </cell>
          <cell r="C270" t="str">
            <v>txc</v>
          </cell>
          <cell r="D270">
            <v>12601</v>
          </cell>
          <cell r="E270" t="str">
            <v xml:space="preserve">	</v>
          </cell>
          <cell r="F270">
            <v>4.16</v>
          </cell>
        </row>
        <row r="271">
          <cell r="A271" t="str">
            <v>h1-txc-12602</v>
          </cell>
          <cell r="B271" t="str">
            <v>h1</v>
          </cell>
          <cell r="C271" t="str">
            <v>txc</v>
          </cell>
          <cell r="D271">
            <v>12602</v>
          </cell>
          <cell r="E271" t="str">
            <v xml:space="preserve">	</v>
          </cell>
          <cell r="F271">
            <v>0.22</v>
          </cell>
        </row>
        <row r="272">
          <cell r="A272" t="str">
            <v>h1-txc-12901</v>
          </cell>
          <cell r="B272" t="str">
            <v>h1</v>
          </cell>
          <cell r="C272" t="str">
            <v>txc</v>
          </cell>
          <cell r="D272">
            <v>12901</v>
          </cell>
          <cell r="E272" t="str">
            <v xml:space="preserve">	</v>
          </cell>
          <cell r="F272">
            <v>1.68</v>
          </cell>
        </row>
        <row r="273">
          <cell r="A273" t="str">
            <v>h1-txc-12902</v>
          </cell>
          <cell r="B273" t="str">
            <v>h1</v>
          </cell>
          <cell r="C273" t="str">
            <v>txc</v>
          </cell>
          <cell r="D273">
            <v>12902</v>
          </cell>
          <cell r="E273" t="str">
            <v xml:space="preserve">	</v>
          </cell>
          <cell r="F273">
            <v>0.45</v>
          </cell>
        </row>
        <row r="274">
          <cell r="A274" t="str">
            <v>h1-txc-12911</v>
          </cell>
          <cell r="B274" t="str">
            <v>h1</v>
          </cell>
          <cell r="C274" t="str">
            <v>txc</v>
          </cell>
          <cell r="D274">
            <v>12911</v>
          </cell>
          <cell r="E274" t="str">
            <v xml:space="preserve">	</v>
          </cell>
          <cell r="F274">
            <v>1.69</v>
          </cell>
        </row>
        <row r="275">
          <cell r="A275" t="str">
            <v>h1-txc-12912</v>
          </cell>
          <cell r="B275" t="str">
            <v>h1</v>
          </cell>
          <cell r="C275" t="str">
            <v>txc</v>
          </cell>
          <cell r="D275">
            <v>12912</v>
          </cell>
          <cell r="E275" t="str">
            <v xml:space="preserve">	</v>
          </cell>
          <cell r="F275">
            <v>0.63</v>
          </cell>
        </row>
        <row r="276">
          <cell r="A276" t="str">
            <v>h1-txc-1211</v>
          </cell>
          <cell r="B276" t="str">
            <v>h1</v>
          </cell>
          <cell r="C276" t="str">
            <v>txc</v>
          </cell>
          <cell r="D276">
            <v>1211</v>
          </cell>
          <cell r="E276" t="str">
            <v xml:space="preserve">	</v>
          </cell>
          <cell r="F276">
            <v>0.22</v>
          </cell>
        </row>
        <row r="277">
          <cell r="A277" t="str">
            <v>h1-txc-1212</v>
          </cell>
          <cell r="B277" t="str">
            <v>h1</v>
          </cell>
          <cell r="C277" t="str">
            <v>txc</v>
          </cell>
          <cell r="D277">
            <v>1212</v>
          </cell>
          <cell r="E277" t="str">
            <v xml:space="preserve">	</v>
          </cell>
          <cell r="F277">
            <v>4.6500000000000004</v>
          </cell>
        </row>
        <row r="278">
          <cell r="A278" t="str">
            <v>h1-txc-1301</v>
          </cell>
          <cell r="B278" t="str">
            <v>h1</v>
          </cell>
          <cell r="C278" t="str">
            <v>txc</v>
          </cell>
          <cell r="D278">
            <v>1301</v>
          </cell>
          <cell r="E278" t="str">
            <v xml:space="preserve">	</v>
          </cell>
          <cell r="F278">
            <v>1.08</v>
          </cell>
        </row>
        <row r="279">
          <cell r="A279" t="str">
            <v>h1-txc-1302</v>
          </cell>
          <cell r="B279" t="str">
            <v>h1</v>
          </cell>
          <cell r="C279" t="str">
            <v>txc</v>
          </cell>
          <cell r="D279">
            <v>1302</v>
          </cell>
          <cell r="E279" t="str">
            <v xml:space="preserve">	</v>
          </cell>
          <cell r="F279">
            <v>0.8</v>
          </cell>
        </row>
        <row r="280">
          <cell r="A280" t="str">
            <v>h1-txc-13001</v>
          </cell>
          <cell r="B280" t="str">
            <v>h1</v>
          </cell>
          <cell r="C280" t="str">
            <v>txc</v>
          </cell>
          <cell r="D280">
            <v>13001</v>
          </cell>
          <cell r="E280" t="str">
            <v xml:space="preserve">	</v>
          </cell>
          <cell r="F280">
            <v>0.19</v>
          </cell>
        </row>
        <row r="281">
          <cell r="A281" t="str">
            <v>h1-txc-13002</v>
          </cell>
          <cell r="B281" t="str">
            <v>h1</v>
          </cell>
          <cell r="C281" t="str">
            <v>txc</v>
          </cell>
          <cell r="D281">
            <v>13002</v>
          </cell>
          <cell r="E281" t="str">
            <v xml:space="preserve">	</v>
          </cell>
          <cell r="F281">
            <v>1.05</v>
          </cell>
        </row>
        <row r="282">
          <cell r="A282" t="str">
            <v>h1-txc-13011</v>
          </cell>
          <cell r="B282" t="str">
            <v>h1</v>
          </cell>
          <cell r="C282" t="str">
            <v>txc</v>
          </cell>
          <cell r="D282">
            <v>13011</v>
          </cell>
          <cell r="E282" t="str">
            <v xml:space="preserve">	</v>
          </cell>
          <cell r="F282">
            <v>3.58</v>
          </cell>
        </row>
        <row r="283">
          <cell r="A283" t="str">
            <v>h1-txc-13012</v>
          </cell>
          <cell r="B283" t="str">
            <v>h1</v>
          </cell>
          <cell r="C283" t="str">
            <v>txc</v>
          </cell>
          <cell r="D283">
            <v>13012</v>
          </cell>
          <cell r="E283" t="str">
            <v xml:space="preserve">	</v>
          </cell>
          <cell r="F283">
            <v>4.25</v>
          </cell>
        </row>
        <row r="284">
          <cell r="A284" t="str">
            <v>h1-txc-13201</v>
          </cell>
          <cell r="B284" t="str">
            <v>h1</v>
          </cell>
          <cell r="C284" t="str">
            <v>txc</v>
          </cell>
          <cell r="D284">
            <v>13201</v>
          </cell>
          <cell r="E284" t="str">
            <v xml:space="preserve">	</v>
          </cell>
          <cell r="F284">
            <v>2.36</v>
          </cell>
        </row>
        <row r="285">
          <cell r="A285" t="str">
            <v>h1-txc-13202</v>
          </cell>
          <cell r="B285" t="str">
            <v>h1</v>
          </cell>
          <cell r="C285" t="str">
            <v>txc</v>
          </cell>
          <cell r="D285">
            <v>13202</v>
          </cell>
          <cell r="E285" t="str">
            <v xml:space="preserve">	</v>
          </cell>
          <cell r="F285">
            <v>1.2</v>
          </cell>
        </row>
        <row r="286">
          <cell r="A286" t="str">
            <v>h1-txc-13211</v>
          </cell>
          <cell r="B286" t="str">
            <v>h1</v>
          </cell>
          <cell r="C286" t="str">
            <v>txc</v>
          </cell>
          <cell r="D286">
            <v>13211</v>
          </cell>
          <cell r="E286" t="str">
            <v xml:space="preserve">	</v>
          </cell>
          <cell r="F286">
            <v>0.21</v>
          </cell>
        </row>
        <row r="287">
          <cell r="A287" t="str">
            <v>h1-txc-13212</v>
          </cell>
          <cell r="B287" t="str">
            <v>h1</v>
          </cell>
          <cell r="C287" t="str">
            <v>txc</v>
          </cell>
          <cell r="D287">
            <v>13212</v>
          </cell>
          <cell r="E287" t="str">
            <v xml:space="preserve">	</v>
          </cell>
          <cell r="F287">
            <v>0.21</v>
          </cell>
        </row>
        <row r="288">
          <cell r="A288" t="str">
            <v>h1-txc-13301</v>
          </cell>
          <cell r="B288" t="str">
            <v>h1</v>
          </cell>
          <cell r="C288" t="str">
            <v>txc</v>
          </cell>
          <cell r="D288">
            <v>13301</v>
          </cell>
          <cell r="E288" t="str">
            <v xml:space="preserve">	</v>
          </cell>
          <cell r="F288">
            <v>0.46</v>
          </cell>
        </row>
        <row r="289">
          <cell r="A289" t="str">
            <v>h1-txc-13302</v>
          </cell>
          <cell r="B289" t="str">
            <v>h1</v>
          </cell>
          <cell r="C289" t="str">
            <v>txc</v>
          </cell>
          <cell r="D289">
            <v>13302</v>
          </cell>
          <cell r="E289" t="str">
            <v xml:space="preserve">	</v>
          </cell>
          <cell r="F289">
            <v>5.39</v>
          </cell>
        </row>
        <row r="290">
          <cell r="A290" t="str">
            <v>h1-txc-13321</v>
          </cell>
          <cell r="B290" t="str">
            <v>h1</v>
          </cell>
          <cell r="C290" t="str">
            <v>txc</v>
          </cell>
          <cell r="D290">
            <v>13321</v>
          </cell>
          <cell r="E290" t="str">
            <v xml:space="preserve">	</v>
          </cell>
          <cell r="F290">
            <v>0.19</v>
          </cell>
        </row>
        <row r="291">
          <cell r="A291" t="str">
            <v>h1-txc-13322</v>
          </cell>
          <cell r="B291" t="str">
            <v>h1</v>
          </cell>
          <cell r="C291" t="str">
            <v>txc</v>
          </cell>
          <cell r="D291">
            <v>13322</v>
          </cell>
          <cell r="E291" t="str">
            <v xml:space="preserve">	</v>
          </cell>
          <cell r="F291">
            <v>3.51</v>
          </cell>
        </row>
        <row r="292">
          <cell r="A292" t="str">
            <v>h1-txc-13311</v>
          </cell>
          <cell r="B292" t="str">
            <v>h1</v>
          </cell>
          <cell r="C292" t="str">
            <v>txc</v>
          </cell>
          <cell r="D292">
            <v>13311</v>
          </cell>
          <cell r="E292" t="str">
            <v xml:space="preserve">	</v>
          </cell>
          <cell r="F292">
            <v>0.08</v>
          </cell>
        </row>
        <row r="293">
          <cell r="A293" t="str">
            <v>h1-txc-13312</v>
          </cell>
          <cell r="B293" t="str">
            <v>h1</v>
          </cell>
          <cell r="C293" t="str">
            <v>txc</v>
          </cell>
          <cell r="D293">
            <v>13312</v>
          </cell>
          <cell r="E293" t="str">
            <v xml:space="preserve">	</v>
          </cell>
          <cell r="F293">
            <v>0.09</v>
          </cell>
        </row>
        <row r="294">
          <cell r="A294" t="str">
            <v>h1-txc-13411</v>
          </cell>
          <cell r="B294" t="str">
            <v>h1</v>
          </cell>
          <cell r="C294" t="str">
            <v>txc</v>
          </cell>
          <cell r="D294">
            <v>13411</v>
          </cell>
          <cell r="E294" t="str">
            <v xml:space="preserve">	</v>
          </cell>
          <cell r="F294">
            <v>0.13</v>
          </cell>
        </row>
        <row r="295">
          <cell r="A295" t="str">
            <v>h1-txc-13412</v>
          </cell>
          <cell r="B295" t="str">
            <v>h1</v>
          </cell>
          <cell r="C295" t="str">
            <v>txc</v>
          </cell>
          <cell r="D295">
            <v>13412</v>
          </cell>
          <cell r="E295" t="str">
            <v xml:space="preserve">	</v>
          </cell>
          <cell r="F295">
            <v>0.13</v>
          </cell>
        </row>
        <row r="296">
          <cell r="A296" t="str">
            <v>h1-txc-13401</v>
          </cell>
          <cell r="B296" t="str">
            <v>h1</v>
          </cell>
          <cell r="C296" t="str">
            <v>txc</v>
          </cell>
          <cell r="D296">
            <v>13401</v>
          </cell>
          <cell r="E296" t="str">
            <v xml:space="preserve">	</v>
          </cell>
          <cell r="F296">
            <v>2.67</v>
          </cell>
        </row>
        <row r="297">
          <cell r="A297" t="str">
            <v>h1-txc-13402</v>
          </cell>
          <cell r="B297" t="str">
            <v>h1</v>
          </cell>
          <cell r="C297" t="str">
            <v>txc</v>
          </cell>
          <cell r="D297">
            <v>13402</v>
          </cell>
          <cell r="E297" t="str">
            <v xml:space="preserve">	</v>
          </cell>
          <cell r="F297">
            <v>0.89</v>
          </cell>
        </row>
        <row r="298">
          <cell r="A298" t="str">
            <v>h1-txc-13501</v>
          </cell>
          <cell r="B298" t="str">
            <v>h1</v>
          </cell>
          <cell r="C298" t="str">
            <v>txc</v>
          </cell>
          <cell r="D298">
            <v>13501</v>
          </cell>
          <cell r="E298" t="str">
            <v xml:space="preserve">	</v>
          </cell>
          <cell r="F298">
            <v>1.47</v>
          </cell>
        </row>
        <row r="299">
          <cell r="A299" t="str">
            <v>h1-txc-13502</v>
          </cell>
          <cell r="B299" t="str">
            <v>h1</v>
          </cell>
          <cell r="C299" t="str">
            <v>txc</v>
          </cell>
          <cell r="D299">
            <v>13502</v>
          </cell>
          <cell r="E299" t="str">
            <v xml:space="preserve">	</v>
          </cell>
          <cell r="F299">
            <v>0.69</v>
          </cell>
        </row>
        <row r="300">
          <cell r="A300" t="str">
            <v>h1-txc-13511</v>
          </cell>
          <cell r="B300" t="str">
            <v>h1</v>
          </cell>
          <cell r="C300" t="str">
            <v>txc</v>
          </cell>
          <cell r="D300">
            <v>13511</v>
          </cell>
          <cell r="E300" t="str">
            <v xml:space="preserve">	</v>
          </cell>
          <cell r="F300">
            <v>0.18</v>
          </cell>
        </row>
        <row r="301">
          <cell r="A301" t="str">
            <v>h1-txc-13512</v>
          </cell>
          <cell r="B301" t="str">
            <v>h1</v>
          </cell>
          <cell r="C301" t="str">
            <v>txc</v>
          </cell>
          <cell r="D301">
            <v>13512</v>
          </cell>
          <cell r="E301" t="str">
            <v xml:space="preserve">	</v>
          </cell>
          <cell r="F301">
            <v>2.85</v>
          </cell>
        </row>
        <row r="302">
          <cell r="A302" t="str">
            <v>h1-txc-13601</v>
          </cell>
          <cell r="B302" t="str">
            <v>h1</v>
          </cell>
          <cell r="C302" t="str">
            <v>txc</v>
          </cell>
          <cell r="D302">
            <v>13601</v>
          </cell>
          <cell r="E302" t="str">
            <v xml:space="preserve">	</v>
          </cell>
          <cell r="F302">
            <v>1.77</v>
          </cell>
        </row>
        <row r="303">
          <cell r="A303" t="str">
            <v>h1-txc-13602</v>
          </cell>
          <cell r="B303" t="str">
            <v>h1</v>
          </cell>
          <cell r="C303" t="str">
            <v>txc</v>
          </cell>
          <cell r="D303">
            <v>13602</v>
          </cell>
          <cell r="E303" t="str">
            <v xml:space="preserve">	</v>
          </cell>
          <cell r="F303">
            <v>9.7200000000000006</v>
          </cell>
        </row>
        <row r="304">
          <cell r="A304" t="str">
            <v>h1-txc-1411</v>
          </cell>
          <cell r="B304" t="str">
            <v>h1</v>
          </cell>
          <cell r="C304" t="str">
            <v>txc</v>
          </cell>
          <cell r="D304">
            <v>1411</v>
          </cell>
          <cell r="E304" t="str">
            <v xml:space="preserve">	</v>
          </cell>
          <cell r="F304">
            <v>0.9</v>
          </cell>
        </row>
        <row r="305">
          <cell r="A305" t="str">
            <v>h1-txc-1412</v>
          </cell>
          <cell r="B305" t="str">
            <v>h1</v>
          </cell>
          <cell r="C305" t="str">
            <v>txc</v>
          </cell>
          <cell r="D305">
            <v>1412</v>
          </cell>
          <cell r="E305" t="str">
            <v xml:space="preserve">	</v>
          </cell>
          <cell r="F305">
            <v>0.11</v>
          </cell>
        </row>
        <row r="306">
          <cell r="A306" t="str">
            <v>h1-txc-1422</v>
          </cell>
          <cell r="B306" t="str">
            <v>h1</v>
          </cell>
          <cell r="C306" t="str">
            <v>txc</v>
          </cell>
          <cell r="D306">
            <v>1422</v>
          </cell>
          <cell r="E306" t="str">
            <v xml:space="preserve">	</v>
          </cell>
          <cell r="F306">
            <v>2.85</v>
          </cell>
        </row>
        <row r="307">
          <cell r="A307" t="str">
            <v>h1-txc-1431</v>
          </cell>
          <cell r="B307" t="str">
            <v>h1</v>
          </cell>
          <cell r="C307" t="str">
            <v>txc</v>
          </cell>
          <cell r="D307">
            <v>1431</v>
          </cell>
          <cell r="E307" t="str">
            <v xml:space="preserve">	</v>
          </cell>
          <cell r="F307">
            <v>0.83</v>
          </cell>
        </row>
        <row r="308">
          <cell r="A308" t="str">
            <v>h1-txc-1432</v>
          </cell>
          <cell r="B308" t="str">
            <v>h1</v>
          </cell>
          <cell r="C308" t="str">
            <v>txc</v>
          </cell>
          <cell r="D308">
            <v>1432</v>
          </cell>
          <cell r="E308" t="str">
            <v xml:space="preserve">	</v>
          </cell>
          <cell r="F308">
            <v>0.17</v>
          </cell>
        </row>
        <row r="309">
          <cell r="A309" t="str">
            <v>h1-txc-15201</v>
          </cell>
          <cell r="B309" t="str">
            <v>h1</v>
          </cell>
          <cell r="C309" t="str">
            <v>txc</v>
          </cell>
          <cell r="D309">
            <v>15201</v>
          </cell>
          <cell r="E309" t="str">
            <v xml:space="preserve">	</v>
          </cell>
          <cell r="F309">
            <v>14.92</v>
          </cell>
        </row>
        <row r="310">
          <cell r="A310" t="str">
            <v>h1-txc-15202</v>
          </cell>
          <cell r="B310" t="str">
            <v>h1</v>
          </cell>
          <cell r="C310" t="str">
            <v>txc</v>
          </cell>
          <cell r="D310">
            <v>15202</v>
          </cell>
          <cell r="E310" t="str">
            <v xml:space="preserve">	</v>
          </cell>
          <cell r="F310">
            <v>6.71</v>
          </cell>
        </row>
        <row r="311">
          <cell r="A311" t="str">
            <v>h1-txc-15211</v>
          </cell>
          <cell r="B311" t="str">
            <v>h1</v>
          </cell>
          <cell r="C311" t="str">
            <v>txc</v>
          </cell>
          <cell r="D311">
            <v>15211</v>
          </cell>
          <cell r="E311" t="str">
            <v xml:space="preserve">	</v>
          </cell>
          <cell r="F311">
            <v>3.8</v>
          </cell>
        </row>
        <row r="312">
          <cell r="A312" t="str">
            <v>h1-txc-15212</v>
          </cell>
          <cell r="B312" t="str">
            <v>h1</v>
          </cell>
          <cell r="C312" t="str">
            <v>txc</v>
          </cell>
          <cell r="D312">
            <v>15212</v>
          </cell>
          <cell r="E312" t="str">
            <v xml:space="preserve">	</v>
          </cell>
          <cell r="F312">
            <v>0.75</v>
          </cell>
        </row>
        <row r="313">
          <cell r="A313" t="str">
            <v>h1-txc-15301</v>
          </cell>
          <cell r="B313" t="str">
            <v>h1</v>
          </cell>
          <cell r="C313" t="str">
            <v>txc</v>
          </cell>
          <cell r="D313">
            <v>15301</v>
          </cell>
          <cell r="E313" t="str">
            <v xml:space="preserve">	</v>
          </cell>
          <cell r="F313">
            <v>0.49</v>
          </cell>
        </row>
        <row r="314">
          <cell r="A314" t="str">
            <v>h1-txc-15302</v>
          </cell>
          <cell r="B314" t="str">
            <v>h1</v>
          </cell>
          <cell r="C314" t="str">
            <v>txc</v>
          </cell>
          <cell r="D314">
            <v>15302</v>
          </cell>
          <cell r="E314" t="str">
            <v xml:space="preserve">	</v>
          </cell>
          <cell r="F314">
            <v>9.1300000000000008</v>
          </cell>
        </row>
        <row r="315">
          <cell r="A315" t="str">
            <v>h1-txc-15311</v>
          </cell>
          <cell r="B315" t="str">
            <v>h1</v>
          </cell>
          <cell r="C315" t="str">
            <v>txc</v>
          </cell>
          <cell r="D315">
            <v>15311</v>
          </cell>
          <cell r="E315" t="str">
            <v xml:space="preserve">	</v>
          </cell>
          <cell r="F315">
            <v>3.53</v>
          </cell>
        </row>
        <row r="316">
          <cell r="A316" t="str">
            <v>h1-txc-15312</v>
          </cell>
          <cell r="B316" t="str">
            <v>h1</v>
          </cell>
          <cell r="C316" t="str">
            <v>txc</v>
          </cell>
          <cell r="D316">
            <v>15312</v>
          </cell>
          <cell r="E316" t="str">
            <v xml:space="preserve">	</v>
          </cell>
          <cell r="F316">
            <v>0.35</v>
          </cell>
        </row>
        <row r="317">
          <cell r="A317" t="str">
            <v>h1-txc-15501</v>
          </cell>
          <cell r="B317" t="str">
            <v>h1</v>
          </cell>
          <cell r="C317" t="str">
            <v>txc</v>
          </cell>
          <cell r="D317">
            <v>15501</v>
          </cell>
          <cell r="E317" t="str">
            <v xml:space="preserve">	</v>
          </cell>
          <cell r="F317">
            <v>35.020000000000003</v>
          </cell>
        </row>
        <row r="318">
          <cell r="A318" t="str">
            <v>h1-txc-15502</v>
          </cell>
          <cell r="B318" t="str">
            <v>h1</v>
          </cell>
          <cell r="C318" t="str">
            <v>txc</v>
          </cell>
          <cell r="D318">
            <v>15502</v>
          </cell>
          <cell r="E318" t="str">
            <v xml:space="preserve">	</v>
          </cell>
          <cell r="F318">
            <v>0.9</v>
          </cell>
        </row>
        <row r="319">
          <cell r="A319" t="str">
            <v>h1-txc-15511</v>
          </cell>
          <cell r="B319" t="str">
            <v>h1</v>
          </cell>
          <cell r="C319" t="str">
            <v>txc</v>
          </cell>
          <cell r="D319">
            <v>15511</v>
          </cell>
          <cell r="E319" t="str">
            <v xml:space="preserve">	</v>
          </cell>
          <cell r="F319">
            <v>0.22</v>
          </cell>
        </row>
        <row r="320">
          <cell r="A320" t="str">
            <v>h1-txc-15512</v>
          </cell>
          <cell r="B320" t="str">
            <v>h1</v>
          </cell>
          <cell r="C320" t="str">
            <v>txc</v>
          </cell>
          <cell r="D320">
            <v>15512</v>
          </cell>
          <cell r="E320" t="str">
            <v xml:space="preserve">	</v>
          </cell>
          <cell r="F320">
            <v>0.34</v>
          </cell>
        </row>
        <row r="321">
          <cell r="A321" t="str">
            <v>h1-txc-15701</v>
          </cell>
          <cell r="B321" t="str">
            <v>h1</v>
          </cell>
          <cell r="C321" t="str">
            <v>txc</v>
          </cell>
          <cell r="D321">
            <v>15701</v>
          </cell>
          <cell r="E321" t="str">
            <v xml:space="preserve">	</v>
          </cell>
          <cell r="F321">
            <v>0.31</v>
          </cell>
        </row>
        <row r="322">
          <cell r="A322" t="str">
            <v>h1-txc-15702</v>
          </cell>
          <cell r="B322" t="str">
            <v>h1</v>
          </cell>
          <cell r="C322" t="str">
            <v>txc</v>
          </cell>
          <cell r="D322">
            <v>15702</v>
          </cell>
          <cell r="E322" t="str">
            <v xml:space="preserve">	</v>
          </cell>
          <cell r="F322">
            <v>3.41</v>
          </cell>
        </row>
        <row r="323">
          <cell r="A323" t="str">
            <v>h1-txc-16101</v>
          </cell>
          <cell r="B323" t="str">
            <v>h1</v>
          </cell>
          <cell r="C323" t="str">
            <v>txc</v>
          </cell>
          <cell r="D323">
            <v>16101</v>
          </cell>
          <cell r="E323" t="str">
            <v xml:space="preserve">	</v>
          </cell>
          <cell r="F323">
            <v>0.32</v>
          </cell>
        </row>
        <row r="324">
          <cell r="A324" t="str">
            <v>h1-txc-16102</v>
          </cell>
          <cell r="B324" t="str">
            <v>h1</v>
          </cell>
          <cell r="C324" t="str">
            <v>txc</v>
          </cell>
          <cell r="D324">
            <v>16102</v>
          </cell>
          <cell r="E324" t="str">
            <v xml:space="preserve">	</v>
          </cell>
          <cell r="F324">
            <v>0.26</v>
          </cell>
        </row>
        <row r="325">
          <cell r="A325" t="str">
            <v>h1-txc-16201</v>
          </cell>
          <cell r="B325" t="str">
            <v>h1</v>
          </cell>
          <cell r="C325" t="str">
            <v>txc</v>
          </cell>
          <cell r="D325">
            <v>16201</v>
          </cell>
          <cell r="E325" t="str">
            <v xml:space="preserve">	</v>
          </cell>
          <cell r="F325">
            <v>0.28999999999999998</v>
          </cell>
        </row>
        <row r="326">
          <cell r="A326" t="str">
            <v>h1-txc-16202</v>
          </cell>
          <cell r="B326" t="str">
            <v>h1</v>
          </cell>
          <cell r="C326" t="str">
            <v>txc</v>
          </cell>
          <cell r="D326">
            <v>16202</v>
          </cell>
          <cell r="E326" t="str">
            <v xml:space="preserve">	</v>
          </cell>
          <cell r="F326">
            <v>0.28999999999999998</v>
          </cell>
        </row>
        <row r="327">
          <cell r="A327" t="str">
            <v>h1-txc-16601</v>
          </cell>
          <cell r="B327" t="str">
            <v>h1</v>
          </cell>
          <cell r="C327" t="str">
            <v>txc</v>
          </cell>
          <cell r="D327">
            <v>16601</v>
          </cell>
          <cell r="E327" t="str">
            <v xml:space="preserve">	</v>
          </cell>
          <cell r="F327">
            <v>2.61</v>
          </cell>
        </row>
        <row r="328">
          <cell r="A328" t="str">
            <v>h1-txc-16602</v>
          </cell>
          <cell r="B328" t="str">
            <v>h1</v>
          </cell>
          <cell r="C328" t="str">
            <v>txc</v>
          </cell>
          <cell r="D328">
            <v>16602</v>
          </cell>
          <cell r="E328" t="str">
            <v xml:space="preserve">	</v>
          </cell>
          <cell r="F328">
            <v>3.28</v>
          </cell>
        </row>
        <row r="329">
          <cell r="A329" t="str">
            <v>h1-txc-16801</v>
          </cell>
          <cell r="B329" t="str">
            <v>h1</v>
          </cell>
          <cell r="C329" t="str">
            <v>txc</v>
          </cell>
          <cell r="D329">
            <v>16801</v>
          </cell>
          <cell r="E329" t="str">
            <v xml:space="preserve">	</v>
          </cell>
          <cell r="F329">
            <v>1.92</v>
          </cell>
        </row>
        <row r="330">
          <cell r="A330" t="str">
            <v>h1-txc-16802</v>
          </cell>
          <cell r="B330" t="str">
            <v>h1</v>
          </cell>
          <cell r="C330" t="str">
            <v>txc</v>
          </cell>
          <cell r="D330">
            <v>16802</v>
          </cell>
          <cell r="E330" t="str">
            <v xml:space="preserve">	</v>
          </cell>
          <cell r="F330">
            <v>1.44</v>
          </cell>
        </row>
        <row r="331">
          <cell r="A331" t="str">
            <v>h1-txc-16901</v>
          </cell>
          <cell r="B331" t="str">
            <v>h1</v>
          </cell>
          <cell r="C331" t="str">
            <v>txc</v>
          </cell>
          <cell r="D331">
            <v>16901</v>
          </cell>
          <cell r="E331" t="str">
            <v xml:space="preserve">	</v>
          </cell>
          <cell r="F331">
            <v>0.39</v>
          </cell>
        </row>
        <row r="332">
          <cell r="A332" t="str">
            <v>h1-txc-16902</v>
          </cell>
          <cell r="B332" t="str">
            <v>h1</v>
          </cell>
          <cell r="C332" t="str">
            <v>txc</v>
          </cell>
          <cell r="D332">
            <v>16902</v>
          </cell>
          <cell r="E332" t="str">
            <v xml:space="preserve">	</v>
          </cell>
          <cell r="F332">
            <v>0.14000000000000001</v>
          </cell>
        </row>
        <row r="333">
          <cell r="A333" t="str">
            <v>h1-txc-1701</v>
          </cell>
          <cell r="B333" t="str">
            <v>h1</v>
          </cell>
          <cell r="C333" t="str">
            <v>txc</v>
          </cell>
          <cell r="D333">
            <v>1701</v>
          </cell>
          <cell r="E333" t="str">
            <v xml:space="preserve">	</v>
          </cell>
          <cell r="F333">
            <v>0.11</v>
          </cell>
        </row>
        <row r="334">
          <cell r="A334" t="str">
            <v>h1-txc-1702</v>
          </cell>
          <cell r="B334" t="str">
            <v>h1</v>
          </cell>
          <cell r="C334" t="str">
            <v>txc</v>
          </cell>
          <cell r="D334">
            <v>1702</v>
          </cell>
          <cell r="E334" t="str">
            <v xml:space="preserve">	</v>
          </cell>
          <cell r="F334">
            <v>0.14000000000000001</v>
          </cell>
        </row>
        <row r="335">
          <cell r="A335" t="str">
            <v>h1-txc-1711</v>
          </cell>
          <cell r="B335" t="str">
            <v>h1</v>
          </cell>
          <cell r="C335" t="str">
            <v>txc</v>
          </cell>
          <cell r="D335">
            <v>1711</v>
          </cell>
          <cell r="E335" t="str">
            <v xml:space="preserve">	</v>
          </cell>
          <cell r="F335">
            <v>0.11</v>
          </cell>
        </row>
        <row r="336">
          <cell r="A336" t="str">
            <v>h1-txc-1712</v>
          </cell>
          <cell r="B336" t="str">
            <v>h1</v>
          </cell>
          <cell r="C336" t="str">
            <v>txc</v>
          </cell>
          <cell r="D336">
            <v>1712</v>
          </cell>
          <cell r="E336" t="str">
            <v xml:space="preserve">	</v>
          </cell>
          <cell r="F336">
            <v>6.75</v>
          </cell>
        </row>
        <row r="337">
          <cell r="A337" t="str">
            <v>h1-txc-1801</v>
          </cell>
          <cell r="B337" t="str">
            <v>h1</v>
          </cell>
          <cell r="C337" t="str">
            <v>txc</v>
          </cell>
          <cell r="D337">
            <v>1801</v>
          </cell>
          <cell r="E337" t="str">
            <v xml:space="preserve">	</v>
          </cell>
          <cell r="F337">
            <v>0.22</v>
          </cell>
        </row>
        <row r="338">
          <cell r="A338" t="str">
            <v>h1-txc-1802</v>
          </cell>
          <cell r="B338" t="str">
            <v>h1</v>
          </cell>
          <cell r="C338" t="str">
            <v>txc</v>
          </cell>
          <cell r="D338">
            <v>1802</v>
          </cell>
          <cell r="E338" t="str">
            <v xml:space="preserve">	</v>
          </cell>
          <cell r="F338">
            <v>2.74</v>
          </cell>
        </row>
        <row r="339">
          <cell r="A339" t="str">
            <v>h1-txc-18511</v>
          </cell>
          <cell r="B339" t="str">
            <v>h1</v>
          </cell>
          <cell r="C339" t="str">
            <v>txc</v>
          </cell>
          <cell r="D339">
            <v>18511</v>
          </cell>
          <cell r="E339" t="str">
            <v xml:space="preserve">	</v>
          </cell>
          <cell r="F339">
            <v>0.16</v>
          </cell>
        </row>
        <row r="340">
          <cell r="A340" t="str">
            <v>h1-txc-18512</v>
          </cell>
          <cell r="B340" t="str">
            <v>h1</v>
          </cell>
          <cell r="C340" t="str">
            <v>txc</v>
          </cell>
          <cell r="D340">
            <v>18512</v>
          </cell>
          <cell r="E340" t="str">
            <v xml:space="preserve">	</v>
          </cell>
          <cell r="F340">
            <v>0.2</v>
          </cell>
        </row>
        <row r="341">
          <cell r="A341" t="str">
            <v>h1-txc-18501</v>
          </cell>
          <cell r="B341" t="str">
            <v>h1</v>
          </cell>
          <cell r="C341" t="str">
            <v>txc</v>
          </cell>
          <cell r="D341">
            <v>18501</v>
          </cell>
          <cell r="E341" t="str">
            <v xml:space="preserve">	</v>
          </cell>
          <cell r="F341">
            <v>3.76</v>
          </cell>
        </row>
        <row r="342">
          <cell r="A342" t="str">
            <v>h1-txc-18502</v>
          </cell>
          <cell r="B342" t="str">
            <v>h1</v>
          </cell>
          <cell r="C342" t="str">
            <v>txc</v>
          </cell>
          <cell r="D342">
            <v>18502</v>
          </cell>
          <cell r="E342" t="str">
            <v xml:space="preserve">	</v>
          </cell>
          <cell r="F342">
            <v>0.21</v>
          </cell>
        </row>
        <row r="343">
          <cell r="A343" t="str">
            <v>h1-txc-18801</v>
          </cell>
          <cell r="B343" t="str">
            <v>h1</v>
          </cell>
          <cell r="C343" t="str">
            <v>txc</v>
          </cell>
          <cell r="D343">
            <v>18801</v>
          </cell>
          <cell r="E343" t="str">
            <v xml:space="preserve">	</v>
          </cell>
          <cell r="F343">
            <v>7.89</v>
          </cell>
        </row>
        <row r="344">
          <cell r="A344" t="str">
            <v>h1-txc-18802</v>
          </cell>
          <cell r="B344" t="str">
            <v>h1</v>
          </cell>
          <cell r="C344" t="str">
            <v>txc</v>
          </cell>
          <cell r="D344">
            <v>18802</v>
          </cell>
          <cell r="E344" t="str">
            <v xml:space="preserve">	</v>
          </cell>
          <cell r="F344">
            <v>4.8099999999999996</v>
          </cell>
        </row>
        <row r="345">
          <cell r="A345" t="str">
            <v>h1-txc-1901</v>
          </cell>
          <cell r="B345" t="str">
            <v>h1</v>
          </cell>
          <cell r="C345" t="str">
            <v>txc</v>
          </cell>
          <cell r="D345">
            <v>1901</v>
          </cell>
          <cell r="E345" t="str">
            <v xml:space="preserve">	</v>
          </cell>
          <cell r="F345">
            <v>0.49</v>
          </cell>
        </row>
        <row r="346">
          <cell r="A346" t="str">
            <v>h1-txc-1902</v>
          </cell>
          <cell r="B346" t="str">
            <v>h1</v>
          </cell>
          <cell r="C346" t="str">
            <v>txc</v>
          </cell>
          <cell r="D346">
            <v>1902</v>
          </cell>
          <cell r="E346" t="str">
            <v xml:space="preserve">	</v>
          </cell>
          <cell r="F346">
            <v>0.42</v>
          </cell>
        </row>
        <row r="347">
          <cell r="A347" t="str">
            <v>h1-txc-201</v>
          </cell>
          <cell r="B347" t="str">
            <v>h1</v>
          </cell>
          <cell r="C347" t="str">
            <v>txc</v>
          </cell>
          <cell r="D347">
            <v>201</v>
          </cell>
          <cell r="E347" t="str">
            <v xml:space="preserve">	</v>
          </cell>
          <cell r="F347">
            <v>3.05</v>
          </cell>
        </row>
        <row r="348">
          <cell r="A348" t="str">
            <v>h1-txc-202</v>
          </cell>
          <cell r="B348" t="str">
            <v>h1</v>
          </cell>
          <cell r="C348" t="str">
            <v>txc</v>
          </cell>
          <cell r="D348">
            <v>202</v>
          </cell>
          <cell r="E348" t="str">
            <v xml:space="preserve">	</v>
          </cell>
          <cell r="F348">
            <v>2.2200000000000002</v>
          </cell>
        </row>
        <row r="349">
          <cell r="A349" t="str">
            <v>h1-txc-2001</v>
          </cell>
          <cell r="B349" t="str">
            <v>h1</v>
          </cell>
          <cell r="C349" t="str">
            <v>txc</v>
          </cell>
          <cell r="D349">
            <v>2001</v>
          </cell>
          <cell r="E349" t="str">
            <v xml:space="preserve">	</v>
          </cell>
          <cell r="F349">
            <v>5.51</v>
          </cell>
        </row>
        <row r="350">
          <cell r="A350" t="str">
            <v>h1-txc-2002</v>
          </cell>
          <cell r="B350" t="str">
            <v>h1</v>
          </cell>
          <cell r="C350" t="str">
            <v>txc</v>
          </cell>
          <cell r="D350">
            <v>2002</v>
          </cell>
          <cell r="E350" t="str">
            <v xml:space="preserve">	</v>
          </cell>
          <cell r="F350">
            <v>0.7</v>
          </cell>
        </row>
        <row r="351">
          <cell r="A351" t="str">
            <v>h1-txc-20011</v>
          </cell>
          <cell r="B351" t="str">
            <v>h1</v>
          </cell>
          <cell r="C351" t="str">
            <v>txc</v>
          </cell>
          <cell r="D351">
            <v>20011</v>
          </cell>
          <cell r="E351" t="str">
            <v xml:space="preserve">	</v>
          </cell>
          <cell r="F351">
            <v>3.03</v>
          </cell>
        </row>
        <row r="352">
          <cell r="A352" t="str">
            <v>h1-txc-20012</v>
          </cell>
          <cell r="B352" t="str">
            <v>h1</v>
          </cell>
          <cell r="C352" t="str">
            <v>txc</v>
          </cell>
          <cell r="D352">
            <v>20012</v>
          </cell>
          <cell r="E352" t="str">
            <v xml:space="preserve">	</v>
          </cell>
          <cell r="F352">
            <v>0.49</v>
          </cell>
        </row>
        <row r="353">
          <cell r="A353" t="str">
            <v>h1-txc-20001</v>
          </cell>
          <cell r="B353" t="str">
            <v>h1</v>
          </cell>
          <cell r="C353" t="str">
            <v>txc</v>
          </cell>
          <cell r="D353">
            <v>20001</v>
          </cell>
          <cell r="E353" t="str">
            <v xml:space="preserve">	</v>
          </cell>
          <cell r="F353">
            <v>0.77</v>
          </cell>
        </row>
        <row r="354">
          <cell r="A354" t="str">
            <v>h1-txc-20002</v>
          </cell>
          <cell r="B354" t="str">
            <v>h1</v>
          </cell>
          <cell r="C354" t="str">
            <v>txc</v>
          </cell>
          <cell r="D354">
            <v>20002</v>
          </cell>
          <cell r="E354" t="str">
            <v xml:space="preserve">	</v>
          </cell>
          <cell r="F354">
            <v>0.69</v>
          </cell>
        </row>
        <row r="355">
          <cell r="A355" t="str">
            <v>h1-txc-22001</v>
          </cell>
          <cell r="B355" t="str">
            <v>h1</v>
          </cell>
          <cell r="C355" t="str">
            <v>txc</v>
          </cell>
          <cell r="D355">
            <v>22001</v>
          </cell>
          <cell r="E355" t="str">
            <v xml:space="preserve">	</v>
          </cell>
          <cell r="F355">
            <v>0.52</v>
          </cell>
        </row>
        <row r="356">
          <cell r="A356" t="str">
            <v>h1-txc-22002</v>
          </cell>
          <cell r="B356" t="str">
            <v>h1</v>
          </cell>
          <cell r="C356" t="str">
            <v>txc</v>
          </cell>
          <cell r="D356">
            <v>22002</v>
          </cell>
          <cell r="E356" t="str">
            <v xml:space="preserve">	</v>
          </cell>
          <cell r="F356">
            <v>2.72</v>
          </cell>
        </row>
        <row r="357">
          <cell r="A357" t="str">
            <v>h1-txc-22501</v>
          </cell>
          <cell r="B357" t="str">
            <v>h1</v>
          </cell>
          <cell r="C357" t="str">
            <v>txc</v>
          </cell>
          <cell r="D357">
            <v>22501</v>
          </cell>
          <cell r="E357" t="str">
            <v xml:space="preserve">	</v>
          </cell>
          <cell r="F357">
            <v>2.14</v>
          </cell>
        </row>
        <row r="358">
          <cell r="A358" t="str">
            <v>h1-txc-22502</v>
          </cell>
          <cell r="B358" t="str">
            <v>h1</v>
          </cell>
          <cell r="C358" t="str">
            <v>txc</v>
          </cell>
          <cell r="D358">
            <v>22502</v>
          </cell>
          <cell r="E358" t="str">
            <v xml:space="preserve">	</v>
          </cell>
          <cell r="F358">
            <v>2.99</v>
          </cell>
        </row>
        <row r="359">
          <cell r="A359" t="str">
            <v>h1-txc-2301</v>
          </cell>
          <cell r="B359" t="str">
            <v>h1</v>
          </cell>
          <cell r="C359" t="str">
            <v>txc</v>
          </cell>
          <cell r="D359">
            <v>2301</v>
          </cell>
          <cell r="E359" t="str">
            <v xml:space="preserve">	</v>
          </cell>
          <cell r="F359">
            <v>14.23</v>
          </cell>
        </row>
        <row r="360">
          <cell r="A360" t="str">
            <v>h1-txc-2302</v>
          </cell>
          <cell r="B360" t="str">
            <v>h1</v>
          </cell>
          <cell r="C360" t="str">
            <v>txc</v>
          </cell>
          <cell r="D360">
            <v>2302</v>
          </cell>
          <cell r="E360" t="str">
            <v xml:space="preserve">	</v>
          </cell>
          <cell r="F360">
            <v>0.26</v>
          </cell>
        </row>
        <row r="361">
          <cell r="A361" t="str">
            <v>h1-txc-2311</v>
          </cell>
          <cell r="B361" t="str">
            <v>h1</v>
          </cell>
          <cell r="C361" t="str">
            <v>txc</v>
          </cell>
          <cell r="D361">
            <v>2311</v>
          </cell>
          <cell r="E361" t="str">
            <v xml:space="preserve">	</v>
          </cell>
          <cell r="F361">
            <v>3.52</v>
          </cell>
        </row>
        <row r="362">
          <cell r="A362" t="str">
            <v>h1-txc-2312</v>
          </cell>
          <cell r="B362" t="str">
            <v>h1</v>
          </cell>
          <cell r="C362" t="str">
            <v>txc</v>
          </cell>
          <cell r="D362">
            <v>2312</v>
          </cell>
          <cell r="E362" t="str">
            <v xml:space="preserve">	</v>
          </cell>
          <cell r="F362">
            <v>0.27</v>
          </cell>
        </row>
        <row r="363">
          <cell r="A363" t="str">
            <v>h1-txc-2411</v>
          </cell>
          <cell r="B363" t="str">
            <v>h1</v>
          </cell>
          <cell r="C363" t="str">
            <v>txc</v>
          </cell>
          <cell r="D363">
            <v>2411</v>
          </cell>
          <cell r="E363" t="str">
            <v xml:space="preserve">	</v>
          </cell>
          <cell r="F363">
            <v>0.41</v>
          </cell>
        </row>
        <row r="364">
          <cell r="A364" t="str">
            <v>h1-txc-2412</v>
          </cell>
          <cell r="B364" t="str">
            <v>h1</v>
          </cell>
          <cell r="C364" t="str">
            <v>txc</v>
          </cell>
          <cell r="D364">
            <v>2412</v>
          </cell>
          <cell r="E364" t="str">
            <v xml:space="preserve">	</v>
          </cell>
          <cell r="F364">
            <v>0.43</v>
          </cell>
        </row>
        <row r="365">
          <cell r="A365" t="str">
            <v>h1-txc-2431</v>
          </cell>
          <cell r="B365" t="str">
            <v>h1</v>
          </cell>
          <cell r="C365" t="str">
            <v>txc</v>
          </cell>
          <cell r="D365">
            <v>2431</v>
          </cell>
          <cell r="E365" t="str">
            <v xml:space="preserve">	</v>
          </cell>
          <cell r="F365">
            <v>3.71</v>
          </cell>
        </row>
        <row r="366">
          <cell r="A366" t="str">
            <v>h1-txc-2432</v>
          </cell>
          <cell r="B366" t="str">
            <v>h1</v>
          </cell>
          <cell r="C366" t="str">
            <v>txc</v>
          </cell>
          <cell r="D366">
            <v>2432</v>
          </cell>
          <cell r="E366" t="str">
            <v xml:space="preserve">	</v>
          </cell>
          <cell r="F366">
            <v>0.19</v>
          </cell>
        </row>
        <row r="367">
          <cell r="A367" t="str">
            <v>h1-txc-2421</v>
          </cell>
          <cell r="B367" t="str">
            <v>h1</v>
          </cell>
          <cell r="C367" t="str">
            <v>txc</v>
          </cell>
          <cell r="D367">
            <v>2421</v>
          </cell>
          <cell r="E367" t="str">
            <v xml:space="preserve">	</v>
          </cell>
          <cell r="F367">
            <v>0.48</v>
          </cell>
        </row>
        <row r="368">
          <cell r="A368" t="str">
            <v>h1-txc-2422</v>
          </cell>
          <cell r="B368" t="str">
            <v>h1</v>
          </cell>
          <cell r="C368" t="str">
            <v>txc</v>
          </cell>
          <cell r="D368">
            <v>2422</v>
          </cell>
          <cell r="E368" t="str">
            <v xml:space="preserve">	</v>
          </cell>
          <cell r="F368">
            <v>0.16</v>
          </cell>
        </row>
        <row r="369">
          <cell r="A369" t="str">
            <v>h1-txc-2401</v>
          </cell>
          <cell r="B369" t="str">
            <v>h1</v>
          </cell>
          <cell r="C369" t="str">
            <v>txc</v>
          </cell>
          <cell r="D369">
            <v>2401</v>
          </cell>
          <cell r="E369" t="str">
            <v xml:space="preserve">	</v>
          </cell>
          <cell r="F369">
            <v>0.8</v>
          </cell>
        </row>
        <row r="370">
          <cell r="A370" t="str">
            <v>h1-txc-2402</v>
          </cell>
          <cell r="B370" t="str">
            <v>h1</v>
          </cell>
          <cell r="C370" t="str">
            <v>txc</v>
          </cell>
          <cell r="D370">
            <v>2402</v>
          </cell>
          <cell r="E370" t="str">
            <v xml:space="preserve">	</v>
          </cell>
          <cell r="F370">
            <v>0.47</v>
          </cell>
        </row>
        <row r="371">
          <cell r="A371" t="str">
            <v>h1-txc-25011</v>
          </cell>
          <cell r="B371" t="str">
            <v>h1</v>
          </cell>
          <cell r="C371" t="str">
            <v>txc</v>
          </cell>
          <cell r="D371">
            <v>25011</v>
          </cell>
          <cell r="E371" t="str">
            <v xml:space="preserve">	</v>
          </cell>
          <cell r="F371">
            <v>8.3000000000000007</v>
          </cell>
        </row>
        <row r="372">
          <cell r="A372" t="str">
            <v>h1-txc-25012</v>
          </cell>
          <cell r="B372" t="str">
            <v>h1</v>
          </cell>
          <cell r="C372" t="str">
            <v>txc</v>
          </cell>
          <cell r="D372">
            <v>25012</v>
          </cell>
          <cell r="E372" t="str">
            <v xml:space="preserve">	</v>
          </cell>
          <cell r="F372">
            <v>2.14</v>
          </cell>
        </row>
        <row r="373">
          <cell r="A373" t="str">
            <v>h1-txc-25001</v>
          </cell>
          <cell r="B373" t="str">
            <v>h1</v>
          </cell>
          <cell r="C373" t="str">
            <v>txc</v>
          </cell>
          <cell r="D373">
            <v>25001</v>
          </cell>
          <cell r="E373" t="str">
            <v xml:space="preserve">	</v>
          </cell>
          <cell r="F373">
            <v>2.44</v>
          </cell>
        </row>
        <row r="374">
          <cell r="A374" t="str">
            <v>h1-txc-25002</v>
          </cell>
          <cell r="B374" t="str">
            <v>h1</v>
          </cell>
          <cell r="C374" t="str">
            <v>txc</v>
          </cell>
          <cell r="D374">
            <v>25002</v>
          </cell>
          <cell r="E374" t="str">
            <v xml:space="preserve">	</v>
          </cell>
          <cell r="F374">
            <v>0.31</v>
          </cell>
        </row>
        <row r="375">
          <cell r="A375" t="str">
            <v>h1-txc-2611</v>
          </cell>
          <cell r="B375" t="str">
            <v>h1</v>
          </cell>
          <cell r="C375" t="str">
            <v>txc</v>
          </cell>
          <cell r="D375">
            <v>2611</v>
          </cell>
          <cell r="E375" t="str">
            <v xml:space="preserve">	</v>
          </cell>
          <cell r="F375">
            <v>13.31</v>
          </cell>
        </row>
        <row r="376">
          <cell r="A376" t="str">
            <v>h1-txc-2612</v>
          </cell>
          <cell r="B376" t="str">
            <v>h1</v>
          </cell>
          <cell r="C376" t="str">
            <v>txc</v>
          </cell>
          <cell r="D376">
            <v>2612</v>
          </cell>
          <cell r="E376" t="str">
            <v xml:space="preserve">	</v>
          </cell>
          <cell r="F376">
            <v>18.82</v>
          </cell>
        </row>
        <row r="377">
          <cell r="A377" t="str">
            <v>h1-txc-2701</v>
          </cell>
          <cell r="B377" t="str">
            <v>h1</v>
          </cell>
          <cell r="C377" t="str">
            <v>txc</v>
          </cell>
          <cell r="D377">
            <v>2701</v>
          </cell>
          <cell r="E377" t="str">
            <v xml:space="preserve">	</v>
          </cell>
          <cell r="F377">
            <v>2.36</v>
          </cell>
        </row>
        <row r="378">
          <cell r="A378" t="str">
            <v>h1-txc-2702</v>
          </cell>
          <cell r="B378" t="str">
            <v>h1</v>
          </cell>
          <cell r="C378" t="str">
            <v>txc</v>
          </cell>
          <cell r="D378">
            <v>2702</v>
          </cell>
          <cell r="E378" t="str">
            <v xml:space="preserve">	</v>
          </cell>
          <cell r="F378">
            <v>0.52</v>
          </cell>
        </row>
        <row r="379">
          <cell r="A379" t="str">
            <v>h1-txc-2711</v>
          </cell>
          <cell r="B379" t="str">
            <v>h1</v>
          </cell>
          <cell r="C379" t="str">
            <v>txc</v>
          </cell>
          <cell r="D379">
            <v>2711</v>
          </cell>
          <cell r="E379" t="str">
            <v xml:space="preserve">	</v>
          </cell>
          <cell r="F379">
            <v>2.19</v>
          </cell>
        </row>
        <row r="380">
          <cell r="A380" t="str">
            <v>h1-txc-2712</v>
          </cell>
          <cell r="B380" t="str">
            <v>h1</v>
          </cell>
          <cell r="C380" t="str">
            <v>txc</v>
          </cell>
          <cell r="D380">
            <v>2712</v>
          </cell>
          <cell r="E380" t="str">
            <v xml:space="preserve">	</v>
          </cell>
          <cell r="F380">
            <v>1.86</v>
          </cell>
        </row>
        <row r="381">
          <cell r="A381" t="str">
            <v>h1-txc-2901</v>
          </cell>
          <cell r="B381" t="str">
            <v>h1</v>
          </cell>
          <cell r="C381" t="str">
            <v>txc</v>
          </cell>
          <cell r="D381">
            <v>2901</v>
          </cell>
          <cell r="E381" t="str">
            <v xml:space="preserve">	</v>
          </cell>
          <cell r="F381">
            <v>4.78</v>
          </cell>
        </row>
        <row r="382">
          <cell r="A382" t="str">
            <v>h1-txc-2902</v>
          </cell>
          <cell r="B382" t="str">
            <v>h1</v>
          </cell>
          <cell r="C382" t="str">
            <v>txc</v>
          </cell>
          <cell r="D382">
            <v>2902</v>
          </cell>
          <cell r="E382" t="str">
            <v xml:space="preserve">	</v>
          </cell>
          <cell r="F382">
            <v>0.27</v>
          </cell>
        </row>
        <row r="383">
          <cell r="A383" t="str">
            <v>h1-txc-2911</v>
          </cell>
          <cell r="B383" t="str">
            <v>h1</v>
          </cell>
          <cell r="C383" t="str">
            <v>txc</v>
          </cell>
          <cell r="D383">
            <v>2911</v>
          </cell>
          <cell r="E383" t="str">
            <v xml:space="preserve">	</v>
          </cell>
          <cell r="F383">
            <v>0.28999999999999998</v>
          </cell>
        </row>
        <row r="384">
          <cell r="A384" t="str">
            <v>h1-txc-2912</v>
          </cell>
          <cell r="B384" t="str">
            <v>h1</v>
          </cell>
          <cell r="C384" t="str">
            <v>txc</v>
          </cell>
          <cell r="D384">
            <v>2912</v>
          </cell>
          <cell r="E384" t="str">
            <v xml:space="preserve">	</v>
          </cell>
          <cell r="F384">
            <v>0.2</v>
          </cell>
        </row>
        <row r="385">
          <cell r="A385" t="str">
            <v>h1-txc-301</v>
          </cell>
          <cell r="B385" t="str">
            <v>h1</v>
          </cell>
          <cell r="C385" t="str">
            <v>txc</v>
          </cell>
          <cell r="D385">
            <v>301</v>
          </cell>
          <cell r="E385" t="str">
            <v xml:space="preserve">	</v>
          </cell>
          <cell r="F385">
            <v>0.35</v>
          </cell>
        </row>
        <row r="386">
          <cell r="A386" t="str">
            <v>h1-txc-302</v>
          </cell>
          <cell r="B386" t="str">
            <v>h1</v>
          </cell>
          <cell r="C386" t="str">
            <v>txc</v>
          </cell>
          <cell r="D386">
            <v>302</v>
          </cell>
          <cell r="E386" t="str">
            <v xml:space="preserve">	</v>
          </cell>
          <cell r="F386">
            <v>0.31</v>
          </cell>
        </row>
        <row r="387">
          <cell r="A387" t="str">
            <v>h1-txc-311</v>
          </cell>
          <cell r="B387" t="str">
            <v>h1</v>
          </cell>
          <cell r="C387" t="str">
            <v>txc</v>
          </cell>
          <cell r="D387">
            <v>311</v>
          </cell>
          <cell r="E387" t="str">
            <v xml:space="preserve">	</v>
          </cell>
          <cell r="F387">
            <v>6.34</v>
          </cell>
        </row>
        <row r="388">
          <cell r="A388" t="str">
            <v>h1-txc-3131</v>
          </cell>
          <cell r="B388" t="str">
            <v>h1</v>
          </cell>
          <cell r="C388" t="str">
            <v>txc</v>
          </cell>
          <cell r="D388">
            <v>3131</v>
          </cell>
          <cell r="E388" t="str">
            <v xml:space="preserve">	</v>
          </cell>
          <cell r="F388">
            <v>1.07</v>
          </cell>
        </row>
        <row r="389">
          <cell r="A389" t="str">
            <v>h1-txc-3132</v>
          </cell>
          <cell r="B389" t="str">
            <v>h1</v>
          </cell>
          <cell r="C389" t="str">
            <v>txc</v>
          </cell>
          <cell r="D389">
            <v>3132</v>
          </cell>
          <cell r="E389" t="str">
            <v xml:space="preserve">	</v>
          </cell>
          <cell r="F389">
            <v>18.16</v>
          </cell>
        </row>
        <row r="390">
          <cell r="A390" t="str">
            <v>h1-txc-3101</v>
          </cell>
          <cell r="B390" t="str">
            <v>h1</v>
          </cell>
          <cell r="C390" t="str">
            <v>txc</v>
          </cell>
          <cell r="D390">
            <v>3101</v>
          </cell>
          <cell r="E390" t="str">
            <v xml:space="preserve">	</v>
          </cell>
          <cell r="F390">
            <v>0.43</v>
          </cell>
        </row>
        <row r="391">
          <cell r="A391" t="str">
            <v>h1-txc-3102</v>
          </cell>
          <cell r="B391" t="str">
            <v>h1</v>
          </cell>
          <cell r="C391" t="str">
            <v>txc</v>
          </cell>
          <cell r="D391">
            <v>3102</v>
          </cell>
          <cell r="E391" t="str">
            <v xml:space="preserve">	</v>
          </cell>
          <cell r="F391">
            <v>0.39</v>
          </cell>
        </row>
        <row r="392">
          <cell r="A392" t="str">
            <v>h1-txc-3111</v>
          </cell>
          <cell r="B392" t="str">
            <v>h1</v>
          </cell>
          <cell r="C392" t="str">
            <v>txc</v>
          </cell>
          <cell r="D392">
            <v>3111</v>
          </cell>
          <cell r="E392" t="str">
            <v xml:space="preserve">	</v>
          </cell>
          <cell r="F392">
            <v>0.44</v>
          </cell>
        </row>
        <row r="393">
          <cell r="A393" t="str">
            <v>h1-txc-3112</v>
          </cell>
          <cell r="B393" t="str">
            <v>h1</v>
          </cell>
          <cell r="C393" t="str">
            <v>txc</v>
          </cell>
          <cell r="D393">
            <v>3112</v>
          </cell>
          <cell r="E393" t="str">
            <v xml:space="preserve">	</v>
          </cell>
          <cell r="F393">
            <v>0.39</v>
          </cell>
        </row>
        <row r="394">
          <cell r="A394" t="str">
            <v>h1-txc-3211</v>
          </cell>
          <cell r="B394" t="str">
            <v>h1</v>
          </cell>
          <cell r="C394" t="str">
            <v>txc</v>
          </cell>
          <cell r="D394">
            <v>3211</v>
          </cell>
          <cell r="E394" t="str">
            <v xml:space="preserve">	</v>
          </cell>
          <cell r="F394">
            <v>0.4</v>
          </cell>
        </row>
        <row r="395">
          <cell r="A395" t="str">
            <v>h1-txc-3212</v>
          </cell>
          <cell r="B395" t="str">
            <v>h1</v>
          </cell>
          <cell r="C395" t="str">
            <v>txc</v>
          </cell>
          <cell r="D395">
            <v>3212</v>
          </cell>
          <cell r="E395" t="str">
            <v xml:space="preserve">	</v>
          </cell>
          <cell r="F395">
            <v>2.72</v>
          </cell>
        </row>
        <row r="396">
          <cell r="A396" t="str">
            <v>h1-txc-3201</v>
          </cell>
          <cell r="B396" t="str">
            <v>h1</v>
          </cell>
          <cell r="C396" t="str">
            <v>txc</v>
          </cell>
          <cell r="D396">
            <v>3201</v>
          </cell>
          <cell r="E396" t="str">
            <v xml:space="preserve">	</v>
          </cell>
          <cell r="F396">
            <v>0.31</v>
          </cell>
        </row>
        <row r="397">
          <cell r="A397" t="str">
            <v>h1-txc-3202</v>
          </cell>
          <cell r="B397" t="str">
            <v>h1</v>
          </cell>
          <cell r="C397" t="str">
            <v>txc</v>
          </cell>
          <cell r="D397">
            <v>3202</v>
          </cell>
          <cell r="E397" t="str">
            <v xml:space="preserve">	</v>
          </cell>
          <cell r="F397">
            <v>0.33</v>
          </cell>
        </row>
        <row r="398">
          <cell r="A398" t="str">
            <v>h1-txc-3301</v>
          </cell>
          <cell r="B398" t="str">
            <v>h1</v>
          </cell>
          <cell r="C398" t="str">
            <v>txc</v>
          </cell>
          <cell r="D398">
            <v>3301</v>
          </cell>
          <cell r="E398" t="str">
            <v xml:space="preserve">	</v>
          </cell>
          <cell r="F398">
            <v>0.38</v>
          </cell>
        </row>
        <row r="399">
          <cell r="A399" t="str">
            <v>h1-txc-3302</v>
          </cell>
          <cell r="B399" t="str">
            <v>h1</v>
          </cell>
          <cell r="C399" t="str">
            <v>txc</v>
          </cell>
          <cell r="D399">
            <v>3302</v>
          </cell>
          <cell r="E399" t="str">
            <v xml:space="preserve">	</v>
          </cell>
          <cell r="F399">
            <v>0.38</v>
          </cell>
        </row>
        <row r="400">
          <cell r="A400" t="str">
            <v>h1-txc-3311</v>
          </cell>
          <cell r="B400" t="str">
            <v>h1</v>
          </cell>
          <cell r="C400" t="str">
            <v>txc</v>
          </cell>
          <cell r="D400">
            <v>3311</v>
          </cell>
          <cell r="E400" t="str">
            <v xml:space="preserve">	</v>
          </cell>
          <cell r="F400">
            <v>1.44</v>
          </cell>
        </row>
        <row r="401">
          <cell r="A401" t="str">
            <v>h1-txc-3312</v>
          </cell>
          <cell r="B401" t="str">
            <v>h1</v>
          </cell>
          <cell r="C401" t="str">
            <v>txc</v>
          </cell>
          <cell r="D401">
            <v>3312</v>
          </cell>
          <cell r="E401" t="str">
            <v xml:space="preserve">	</v>
          </cell>
          <cell r="F401">
            <v>0.32</v>
          </cell>
        </row>
        <row r="402">
          <cell r="A402" t="str">
            <v>h1-txc-33301</v>
          </cell>
          <cell r="B402" t="str">
            <v>h1</v>
          </cell>
          <cell r="C402" t="str">
            <v>txc</v>
          </cell>
          <cell r="D402">
            <v>33301</v>
          </cell>
          <cell r="E402" t="str">
            <v xml:space="preserve">	</v>
          </cell>
          <cell r="F402">
            <v>0.24</v>
          </cell>
        </row>
        <row r="403">
          <cell r="A403" t="str">
            <v>h1-txc-33302</v>
          </cell>
          <cell r="B403" t="str">
            <v>h1</v>
          </cell>
          <cell r="C403" t="str">
            <v>txc</v>
          </cell>
          <cell r="D403">
            <v>33302</v>
          </cell>
          <cell r="E403" t="str">
            <v xml:space="preserve">	</v>
          </cell>
          <cell r="F403">
            <v>2.4300000000000002</v>
          </cell>
        </row>
        <row r="404">
          <cell r="A404" t="str">
            <v>h1-txc-3401</v>
          </cell>
          <cell r="B404" t="str">
            <v>h1</v>
          </cell>
          <cell r="C404" t="str">
            <v>txc</v>
          </cell>
          <cell r="D404">
            <v>3401</v>
          </cell>
          <cell r="E404" t="str">
            <v xml:space="preserve">	</v>
          </cell>
          <cell r="F404">
            <v>0.38</v>
          </cell>
        </row>
        <row r="405">
          <cell r="A405" t="str">
            <v>h1-txc-3402</v>
          </cell>
          <cell r="B405" t="str">
            <v>h1</v>
          </cell>
          <cell r="C405" t="str">
            <v>txc</v>
          </cell>
          <cell r="D405">
            <v>3402</v>
          </cell>
          <cell r="E405" t="str">
            <v xml:space="preserve">	</v>
          </cell>
          <cell r="F405">
            <v>0.45</v>
          </cell>
        </row>
        <row r="406">
          <cell r="A406" t="str">
            <v>h1-txc-3501</v>
          </cell>
          <cell r="B406" t="str">
            <v>h1</v>
          </cell>
          <cell r="C406" t="str">
            <v>txc</v>
          </cell>
          <cell r="D406">
            <v>3501</v>
          </cell>
          <cell r="E406" t="str">
            <v xml:space="preserve">	</v>
          </cell>
          <cell r="F406">
            <v>1.87</v>
          </cell>
        </row>
        <row r="407">
          <cell r="A407" t="str">
            <v>h1-txc-3502</v>
          </cell>
          <cell r="B407" t="str">
            <v>h1</v>
          </cell>
          <cell r="C407" t="str">
            <v>txc</v>
          </cell>
          <cell r="D407">
            <v>3502</v>
          </cell>
          <cell r="E407" t="str">
            <v xml:space="preserve">	</v>
          </cell>
          <cell r="F407">
            <v>0.37</v>
          </cell>
        </row>
        <row r="408">
          <cell r="A408" t="str">
            <v>h1-txc-3511</v>
          </cell>
          <cell r="B408" t="str">
            <v>h1</v>
          </cell>
          <cell r="C408" t="str">
            <v>txc</v>
          </cell>
          <cell r="D408">
            <v>3511</v>
          </cell>
          <cell r="E408" t="str">
            <v xml:space="preserve">	</v>
          </cell>
          <cell r="F408">
            <v>19.8</v>
          </cell>
        </row>
        <row r="409">
          <cell r="A409" t="str">
            <v>h1-txc-3512</v>
          </cell>
          <cell r="B409" t="str">
            <v>h1</v>
          </cell>
          <cell r="C409" t="str">
            <v>txc</v>
          </cell>
          <cell r="D409">
            <v>3512</v>
          </cell>
          <cell r="E409" t="str">
            <v xml:space="preserve">	</v>
          </cell>
          <cell r="F409">
            <v>0.38</v>
          </cell>
        </row>
        <row r="410">
          <cell r="A410" t="str">
            <v>h1-txc-3601</v>
          </cell>
          <cell r="B410" t="str">
            <v>h1</v>
          </cell>
          <cell r="C410" t="str">
            <v>txc</v>
          </cell>
          <cell r="D410">
            <v>3601</v>
          </cell>
          <cell r="E410" t="str">
            <v xml:space="preserve">	</v>
          </cell>
          <cell r="F410">
            <v>0.31</v>
          </cell>
        </row>
        <row r="411">
          <cell r="A411" t="str">
            <v>h1-txc-3602</v>
          </cell>
          <cell r="B411" t="str">
            <v>h1</v>
          </cell>
          <cell r="C411" t="str">
            <v>txc</v>
          </cell>
          <cell r="D411">
            <v>3602</v>
          </cell>
          <cell r="E411" t="str">
            <v xml:space="preserve">	</v>
          </cell>
          <cell r="F411">
            <v>3.63</v>
          </cell>
        </row>
        <row r="412">
          <cell r="A412" t="str">
            <v>h1-txc-3801</v>
          </cell>
          <cell r="B412" t="str">
            <v>h1</v>
          </cell>
          <cell r="C412" t="str">
            <v>txc</v>
          </cell>
          <cell r="D412">
            <v>3801</v>
          </cell>
          <cell r="E412" t="str">
            <v xml:space="preserve">	</v>
          </cell>
          <cell r="F412">
            <v>2.36</v>
          </cell>
        </row>
        <row r="413">
          <cell r="A413" t="str">
            <v>h1-txc-3802</v>
          </cell>
          <cell r="B413" t="str">
            <v>h1</v>
          </cell>
          <cell r="C413" t="str">
            <v>txc</v>
          </cell>
          <cell r="D413">
            <v>3802</v>
          </cell>
          <cell r="E413" t="str">
            <v xml:space="preserve">	</v>
          </cell>
          <cell r="F413">
            <v>2.58</v>
          </cell>
        </row>
        <row r="414">
          <cell r="A414" t="str">
            <v>h1-txc-3901</v>
          </cell>
          <cell r="B414" t="str">
            <v>h1</v>
          </cell>
          <cell r="C414" t="str">
            <v>txc</v>
          </cell>
          <cell r="D414">
            <v>3901</v>
          </cell>
          <cell r="E414" t="str">
            <v xml:space="preserve">	</v>
          </cell>
          <cell r="F414">
            <v>0.82</v>
          </cell>
        </row>
        <row r="415">
          <cell r="A415" t="str">
            <v>h1-txc-3902</v>
          </cell>
          <cell r="B415" t="str">
            <v>h1</v>
          </cell>
          <cell r="C415" t="str">
            <v>txc</v>
          </cell>
          <cell r="D415">
            <v>3902</v>
          </cell>
          <cell r="E415" t="str">
            <v xml:space="preserve">	</v>
          </cell>
          <cell r="F415">
            <v>19.52</v>
          </cell>
        </row>
        <row r="416">
          <cell r="A416" t="str">
            <v>h1-txc-3911</v>
          </cell>
          <cell r="B416" t="str">
            <v>h1</v>
          </cell>
          <cell r="C416" t="str">
            <v>txc</v>
          </cell>
          <cell r="D416">
            <v>3911</v>
          </cell>
          <cell r="E416" t="str">
            <v xml:space="preserve">	</v>
          </cell>
          <cell r="F416">
            <v>0.19</v>
          </cell>
        </row>
        <row r="417">
          <cell r="A417" t="str">
            <v>h1-txc-3912</v>
          </cell>
          <cell r="B417" t="str">
            <v>h1</v>
          </cell>
          <cell r="C417" t="str">
            <v>txc</v>
          </cell>
          <cell r="D417">
            <v>3912</v>
          </cell>
          <cell r="E417" t="str">
            <v xml:space="preserve">	</v>
          </cell>
          <cell r="F417">
            <v>0.19</v>
          </cell>
        </row>
        <row r="418">
          <cell r="A418" t="str">
            <v>h1-txc-3921</v>
          </cell>
          <cell r="B418" t="str">
            <v>h1</v>
          </cell>
          <cell r="C418" t="str">
            <v>txc</v>
          </cell>
          <cell r="D418">
            <v>3921</v>
          </cell>
          <cell r="E418" t="str">
            <v xml:space="preserve">	</v>
          </cell>
          <cell r="F418">
            <v>0.19</v>
          </cell>
        </row>
        <row r="419">
          <cell r="A419" t="str">
            <v>h1-txc-3922</v>
          </cell>
          <cell r="B419" t="str">
            <v>h1</v>
          </cell>
          <cell r="C419" t="str">
            <v>txc</v>
          </cell>
          <cell r="D419">
            <v>3922</v>
          </cell>
          <cell r="E419" t="str">
            <v xml:space="preserve">	</v>
          </cell>
          <cell r="F419">
            <v>0.21</v>
          </cell>
        </row>
        <row r="420">
          <cell r="A420" t="str">
            <v>h1-txc-3931</v>
          </cell>
          <cell r="B420" t="str">
            <v>h1</v>
          </cell>
          <cell r="C420" t="str">
            <v>txc</v>
          </cell>
          <cell r="D420">
            <v>3931</v>
          </cell>
          <cell r="E420" t="str">
            <v xml:space="preserve">	</v>
          </cell>
          <cell r="F420">
            <v>0.98</v>
          </cell>
        </row>
        <row r="421">
          <cell r="A421" t="str">
            <v>h1-txc-3932</v>
          </cell>
          <cell r="B421" t="str">
            <v>h1</v>
          </cell>
          <cell r="C421" t="str">
            <v>txc</v>
          </cell>
          <cell r="D421">
            <v>3932</v>
          </cell>
          <cell r="E421" t="str">
            <v xml:space="preserve">	</v>
          </cell>
          <cell r="F421">
            <v>4.8099999999999996</v>
          </cell>
        </row>
        <row r="422">
          <cell r="A422" t="str">
            <v>h1-txc-321</v>
          </cell>
          <cell r="B422" t="str">
            <v>h1</v>
          </cell>
          <cell r="C422" t="str">
            <v>txc</v>
          </cell>
          <cell r="D422">
            <v>321</v>
          </cell>
          <cell r="E422" t="str">
            <v xml:space="preserve">	</v>
          </cell>
          <cell r="F422">
            <v>0.26</v>
          </cell>
        </row>
        <row r="423">
          <cell r="A423" t="str">
            <v>h1-txc-322</v>
          </cell>
          <cell r="B423" t="str">
            <v>h1</v>
          </cell>
          <cell r="C423" t="str">
            <v>txc</v>
          </cell>
          <cell r="D423">
            <v>322</v>
          </cell>
          <cell r="E423" t="str">
            <v xml:space="preserve">	</v>
          </cell>
          <cell r="F423">
            <v>2.54</v>
          </cell>
        </row>
        <row r="424">
          <cell r="A424" t="str">
            <v>h1-txc-401</v>
          </cell>
          <cell r="B424" t="str">
            <v>h1</v>
          </cell>
          <cell r="C424" t="str">
            <v>txc</v>
          </cell>
          <cell r="D424">
            <v>401</v>
          </cell>
          <cell r="E424" t="str">
            <v xml:space="preserve">	</v>
          </cell>
          <cell r="F424">
            <v>3.67</v>
          </cell>
        </row>
        <row r="425">
          <cell r="A425" t="str">
            <v>h1-txc-402</v>
          </cell>
          <cell r="B425" t="str">
            <v>h1</v>
          </cell>
          <cell r="C425" t="str">
            <v>txc</v>
          </cell>
          <cell r="D425">
            <v>402</v>
          </cell>
          <cell r="E425" t="str">
            <v xml:space="preserve">	</v>
          </cell>
          <cell r="F425">
            <v>7.96</v>
          </cell>
        </row>
        <row r="426">
          <cell r="A426" t="str">
            <v>h1-txc-4001</v>
          </cell>
          <cell r="B426" t="str">
            <v>h1</v>
          </cell>
          <cell r="C426" t="str">
            <v>txc</v>
          </cell>
          <cell r="D426">
            <v>4001</v>
          </cell>
          <cell r="E426" t="str">
            <v xml:space="preserve">	</v>
          </cell>
          <cell r="F426">
            <v>0.23</v>
          </cell>
        </row>
        <row r="427">
          <cell r="A427" t="str">
            <v>h1-txc-4002</v>
          </cell>
          <cell r="B427" t="str">
            <v>h1</v>
          </cell>
          <cell r="C427" t="str">
            <v>txc</v>
          </cell>
          <cell r="D427">
            <v>4002</v>
          </cell>
          <cell r="E427" t="str">
            <v xml:space="preserve">	</v>
          </cell>
          <cell r="F427">
            <v>0.22</v>
          </cell>
        </row>
        <row r="428">
          <cell r="A428" t="str">
            <v>h1-txc-4011</v>
          </cell>
          <cell r="B428" t="str">
            <v>h1</v>
          </cell>
          <cell r="C428" t="str">
            <v>txc</v>
          </cell>
          <cell r="D428">
            <v>4011</v>
          </cell>
          <cell r="E428" t="str">
            <v xml:space="preserve">	</v>
          </cell>
          <cell r="F428">
            <v>0.12</v>
          </cell>
        </row>
        <row r="429">
          <cell r="A429" t="str">
            <v>h1-txc-4012</v>
          </cell>
          <cell r="B429" t="str">
            <v>h1</v>
          </cell>
          <cell r="C429" t="str">
            <v>txc</v>
          </cell>
          <cell r="D429">
            <v>4012</v>
          </cell>
          <cell r="E429" t="str">
            <v xml:space="preserve">	</v>
          </cell>
          <cell r="F429">
            <v>0.22</v>
          </cell>
        </row>
        <row r="430">
          <cell r="A430" t="str">
            <v>h1-txc-4101</v>
          </cell>
          <cell r="B430" t="str">
            <v>h1</v>
          </cell>
          <cell r="C430" t="str">
            <v>txc</v>
          </cell>
          <cell r="D430">
            <v>4101</v>
          </cell>
          <cell r="E430" t="str">
            <v xml:space="preserve">	</v>
          </cell>
          <cell r="F430">
            <v>2.42</v>
          </cell>
        </row>
        <row r="431">
          <cell r="A431" t="str">
            <v>h1-txc-4102</v>
          </cell>
          <cell r="B431" t="str">
            <v>h1</v>
          </cell>
          <cell r="C431" t="str">
            <v>txc</v>
          </cell>
          <cell r="D431">
            <v>4102</v>
          </cell>
          <cell r="E431" t="str">
            <v xml:space="preserve">	</v>
          </cell>
          <cell r="F431">
            <v>3.76</v>
          </cell>
        </row>
        <row r="432">
          <cell r="A432" t="str">
            <v>h1-txc-4201</v>
          </cell>
          <cell r="B432" t="str">
            <v>h1</v>
          </cell>
          <cell r="C432" t="str">
            <v>txc</v>
          </cell>
          <cell r="D432">
            <v>4201</v>
          </cell>
          <cell r="E432" t="str">
            <v xml:space="preserve">	</v>
          </cell>
          <cell r="F432">
            <v>3.61</v>
          </cell>
        </row>
        <row r="433">
          <cell r="A433" t="str">
            <v>h1-txc-4202</v>
          </cell>
          <cell r="B433" t="str">
            <v>h1</v>
          </cell>
          <cell r="C433" t="str">
            <v>txc</v>
          </cell>
          <cell r="D433">
            <v>4202</v>
          </cell>
          <cell r="E433" t="str">
            <v xml:space="preserve">	</v>
          </cell>
          <cell r="F433">
            <v>0.43</v>
          </cell>
        </row>
        <row r="434">
          <cell r="A434" t="str">
            <v>h1-txc-4301</v>
          </cell>
          <cell r="B434" t="str">
            <v>h1</v>
          </cell>
          <cell r="C434" t="str">
            <v>txc</v>
          </cell>
          <cell r="D434">
            <v>4301</v>
          </cell>
          <cell r="E434" t="str">
            <v xml:space="preserve">	</v>
          </cell>
          <cell r="F434">
            <v>45.79</v>
          </cell>
        </row>
        <row r="435">
          <cell r="A435" t="str">
            <v>h1-txc-4302</v>
          </cell>
          <cell r="B435" t="str">
            <v>h1</v>
          </cell>
          <cell r="C435" t="str">
            <v>txc</v>
          </cell>
          <cell r="D435">
            <v>4302</v>
          </cell>
          <cell r="E435" t="str">
            <v xml:space="preserve">	</v>
          </cell>
          <cell r="F435">
            <v>0.63</v>
          </cell>
        </row>
        <row r="436">
          <cell r="A436" t="str">
            <v>h1-txc-4411</v>
          </cell>
          <cell r="B436" t="str">
            <v>h1</v>
          </cell>
          <cell r="C436" t="str">
            <v>txc</v>
          </cell>
          <cell r="D436">
            <v>4411</v>
          </cell>
          <cell r="E436" t="str">
            <v xml:space="preserve">	</v>
          </cell>
          <cell r="F436">
            <v>1.01</v>
          </cell>
        </row>
        <row r="437">
          <cell r="A437" t="str">
            <v>h1-txc-4412</v>
          </cell>
          <cell r="B437" t="str">
            <v>h1</v>
          </cell>
          <cell r="C437" t="str">
            <v>txc</v>
          </cell>
          <cell r="D437">
            <v>4412</v>
          </cell>
          <cell r="E437" t="str">
            <v xml:space="preserve">	</v>
          </cell>
          <cell r="F437">
            <v>0.28999999999999998</v>
          </cell>
        </row>
        <row r="438">
          <cell r="A438" t="str">
            <v>h1-txc-4401</v>
          </cell>
          <cell r="B438" t="str">
            <v>h1</v>
          </cell>
          <cell r="C438" t="str">
            <v>txc</v>
          </cell>
          <cell r="D438">
            <v>4401</v>
          </cell>
          <cell r="E438" t="str">
            <v xml:space="preserve">	</v>
          </cell>
          <cell r="F438">
            <v>0.55000000000000004</v>
          </cell>
        </row>
        <row r="439">
          <cell r="A439" t="str">
            <v>h1-txc-4402</v>
          </cell>
          <cell r="B439" t="str">
            <v>h1</v>
          </cell>
          <cell r="C439" t="str">
            <v>txc</v>
          </cell>
          <cell r="D439">
            <v>4402</v>
          </cell>
          <cell r="E439" t="str">
            <v xml:space="preserve">	</v>
          </cell>
          <cell r="F439">
            <v>5.63</v>
          </cell>
        </row>
        <row r="440">
          <cell r="A440" t="str">
            <v>h1-txc-4501</v>
          </cell>
          <cell r="B440" t="str">
            <v>h1</v>
          </cell>
          <cell r="C440" t="str">
            <v>txc</v>
          </cell>
          <cell r="D440">
            <v>4501</v>
          </cell>
          <cell r="E440" t="str">
            <v xml:space="preserve">	</v>
          </cell>
          <cell r="F440">
            <v>3.62</v>
          </cell>
        </row>
        <row r="441">
          <cell r="A441" t="str">
            <v>h1-txc-4502</v>
          </cell>
          <cell r="B441" t="str">
            <v>h1</v>
          </cell>
          <cell r="C441" t="str">
            <v>txc</v>
          </cell>
          <cell r="D441">
            <v>4502</v>
          </cell>
          <cell r="E441" t="str">
            <v xml:space="preserve">	</v>
          </cell>
          <cell r="F441">
            <v>5.08</v>
          </cell>
        </row>
        <row r="442">
          <cell r="A442" t="str">
            <v>h1-txc-4511</v>
          </cell>
          <cell r="B442" t="str">
            <v>h1</v>
          </cell>
          <cell r="C442" t="str">
            <v>txc</v>
          </cell>
          <cell r="D442">
            <v>4511</v>
          </cell>
          <cell r="E442" t="str">
            <v xml:space="preserve">	</v>
          </cell>
          <cell r="F442">
            <v>6.87</v>
          </cell>
        </row>
        <row r="443">
          <cell r="A443" t="str">
            <v>h1-txc-4512</v>
          </cell>
          <cell r="B443" t="str">
            <v>h1</v>
          </cell>
          <cell r="C443" t="str">
            <v>txc</v>
          </cell>
          <cell r="D443">
            <v>4512</v>
          </cell>
          <cell r="E443" t="str">
            <v xml:space="preserve">	</v>
          </cell>
          <cell r="F443">
            <v>1.23</v>
          </cell>
        </row>
        <row r="444">
          <cell r="A444" t="str">
            <v>h1-txc-4601</v>
          </cell>
          <cell r="B444" t="str">
            <v>h1</v>
          </cell>
          <cell r="C444" t="str">
            <v>txc</v>
          </cell>
          <cell r="D444">
            <v>4601</v>
          </cell>
          <cell r="E444" t="str">
            <v xml:space="preserve">	</v>
          </cell>
          <cell r="F444">
            <v>0.19</v>
          </cell>
        </row>
        <row r="445">
          <cell r="A445" t="str">
            <v>h1-txc-4602</v>
          </cell>
          <cell r="B445" t="str">
            <v>h1</v>
          </cell>
          <cell r="C445" t="str">
            <v>txc</v>
          </cell>
          <cell r="D445">
            <v>4602</v>
          </cell>
          <cell r="E445" t="str">
            <v xml:space="preserve">	</v>
          </cell>
          <cell r="F445">
            <v>0.7</v>
          </cell>
        </row>
        <row r="446">
          <cell r="A446" t="str">
            <v>h1-txc-4711</v>
          </cell>
          <cell r="B446" t="str">
            <v>h1</v>
          </cell>
          <cell r="C446" t="str">
            <v>txc</v>
          </cell>
          <cell r="D446">
            <v>4711</v>
          </cell>
          <cell r="E446" t="str">
            <v xml:space="preserve">	</v>
          </cell>
          <cell r="F446">
            <v>3.38</v>
          </cell>
        </row>
        <row r="447">
          <cell r="A447" t="str">
            <v>h1-txc-4712</v>
          </cell>
          <cell r="B447" t="str">
            <v>h1</v>
          </cell>
          <cell r="C447" t="str">
            <v>txc</v>
          </cell>
          <cell r="D447">
            <v>4712</v>
          </cell>
          <cell r="E447" t="str">
            <v xml:space="preserve">	</v>
          </cell>
          <cell r="F447">
            <v>0.72</v>
          </cell>
        </row>
        <row r="448">
          <cell r="A448" t="str">
            <v>h1-txc-4701</v>
          </cell>
          <cell r="B448" t="str">
            <v>h1</v>
          </cell>
          <cell r="C448" t="str">
            <v>txc</v>
          </cell>
          <cell r="D448">
            <v>4701</v>
          </cell>
          <cell r="E448" t="str">
            <v xml:space="preserve">	</v>
          </cell>
          <cell r="F448">
            <v>2.66</v>
          </cell>
        </row>
        <row r="449">
          <cell r="A449" t="str">
            <v>h1-txc-4702</v>
          </cell>
          <cell r="B449" t="str">
            <v>h1</v>
          </cell>
          <cell r="C449" t="str">
            <v>txc</v>
          </cell>
          <cell r="D449">
            <v>4702</v>
          </cell>
          <cell r="E449" t="str">
            <v xml:space="preserve">	</v>
          </cell>
          <cell r="F449">
            <v>2.38</v>
          </cell>
        </row>
        <row r="450">
          <cell r="A450" t="str">
            <v>h1-txc-4801</v>
          </cell>
          <cell r="B450" t="str">
            <v>h1</v>
          </cell>
          <cell r="C450" t="str">
            <v>txc</v>
          </cell>
          <cell r="D450">
            <v>4801</v>
          </cell>
          <cell r="E450" t="str">
            <v xml:space="preserve">	</v>
          </cell>
          <cell r="F450">
            <v>6.57</v>
          </cell>
        </row>
        <row r="451">
          <cell r="A451" t="str">
            <v>h1-txc-4802</v>
          </cell>
          <cell r="B451" t="str">
            <v>h1</v>
          </cell>
          <cell r="C451" t="str">
            <v>txc</v>
          </cell>
          <cell r="D451">
            <v>4802</v>
          </cell>
          <cell r="E451" t="str">
            <v xml:space="preserve">	</v>
          </cell>
          <cell r="F451">
            <v>0.42</v>
          </cell>
        </row>
        <row r="452">
          <cell r="A452" t="str">
            <v>h1-txc-4811</v>
          </cell>
          <cell r="B452" t="str">
            <v>h1</v>
          </cell>
          <cell r="C452" t="str">
            <v>txc</v>
          </cell>
          <cell r="D452">
            <v>4811</v>
          </cell>
          <cell r="E452" t="str">
            <v xml:space="preserve">	</v>
          </cell>
          <cell r="F452">
            <v>0.26</v>
          </cell>
        </row>
        <row r="453">
          <cell r="A453" t="str">
            <v>h1-txc-4812</v>
          </cell>
          <cell r="B453" t="str">
            <v>h1</v>
          </cell>
          <cell r="C453" t="str">
            <v>txc</v>
          </cell>
          <cell r="D453">
            <v>4812</v>
          </cell>
          <cell r="E453" t="str">
            <v xml:space="preserve">	</v>
          </cell>
          <cell r="F453">
            <v>1.32</v>
          </cell>
        </row>
        <row r="454">
          <cell r="A454" t="str">
            <v>h1-txc-4921</v>
          </cell>
          <cell r="B454" t="str">
            <v>h1</v>
          </cell>
          <cell r="C454" t="str">
            <v>txc</v>
          </cell>
          <cell r="D454">
            <v>4921</v>
          </cell>
          <cell r="E454" t="str">
            <v xml:space="preserve">	</v>
          </cell>
          <cell r="F454">
            <v>25.58</v>
          </cell>
        </row>
        <row r="455">
          <cell r="A455" t="str">
            <v>h1-txc-4922</v>
          </cell>
          <cell r="B455" t="str">
            <v>h1</v>
          </cell>
          <cell r="C455" t="str">
            <v>txc</v>
          </cell>
          <cell r="D455">
            <v>4922</v>
          </cell>
          <cell r="E455" t="str">
            <v xml:space="preserve">	</v>
          </cell>
          <cell r="F455">
            <v>1.07</v>
          </cell>
        </row>
        <row r="456">
          <cell r="A456" t="str">
            <v>h1-txc-4911</v>
          </cell>
          <cell r="B456" t="str">
            <v>h1</v>
          </cell>
          <cell r="C456" t="str">
            <v>txc</v>
          </cell>
          <cell r="D456">
            <v>4911</v>
          </cell>
          <cell r="E456" t="str">
            <v xml:space="preserve">	</v>
          </cell>
          <cell r="F456">
            <v>2.33</v>
          </cell>
        </row>
        <row r="457">
          <cell r="A457" t="str">
            <v>h1-txc-4912</v>
          </cell>
          <cell r="B457" t="str">
            <v>h1</v>
          </cell>
          <cell r="C457" t="str">
            <v>txc</v>
          </cell>
          <cell r="D457">
            <v>4912</v>
          </cell>
          <cell r="E457" t="str">
            <v xml:space="preserve">	</v>
          </cell>
          <cell r="F457">
            <v>1.08</v>
          </cell>
        </row>
        <row r="458">
          <cell r="A458" t="str">
            <v>h1-txc-4901</v>
          </cell>
          <cell r="B458" t="str">
            <v>h1</v>
          </cell>
          <cell r="C458" t="str">
            <v>txc</v>
          </cell>
          <cell r="D458">
            <v>4901</v>
          </cell>
          <cell r="E458" t="str">
            <v xml:space="preserve">	</v>
          </cell>
          <cell r="F458">
            <v>13.03</v>
          </cell>
        </row>
        <row r="459">
          <cell r="A459" t="str">
            <v>h1-txc-4902</v>
          </cell>
          <cell r="B459" t="str">
            <v>h1</v>
          </cell>
          <cell r="C459" t="str">
            <v>txc</v>
          </cell>
          <cell r="D459">
            <v>4902</v>
          </cell>
          <cell r="E459" t="str">
            <v xml:space="preserve">	</v>
          </cell>
          <cell r="F459">
            <v>0.8</v>
          </cell>
        </row>
        <row r="460">
          <cell r="A460" t="str">
            <v>h1-txc-501</v>
          </cell>
          <cell r="B460" t="str">
            <v>h1</v>
          </cell>
          <cell r="C460" t="str">
            <v>txc</v>
          </cell>
          <cell r="D460">
            <v>501</v>
          </cell>
          <cell r="E460" t="str">
            <v xml:space="preserve">	</v>
          </cell>
          <cell r="F460">
            <v>3.67</v>
          </cell>
        </row>
        <row r="461">
          <cell r="A461" t="str">
            <v>h1-txc-502</v>
          </cell>
          <cell r="B461" t="str">
            <v>h1</v>
          </cell>
          <cell r="C461" t="str">
            <v>txc</v>
          </cell>
          <cell r="D461">
            <v>502</v>
          </cell>
          <cell r="E461" t="str">
            <v xml:space="preserve">	</v>
          </cell>
          <cell r="F461">
            <v>2.56</v>
          </cell>
        </row>
        <row r="462">
          <cell r="A462" t="str">
            <v>h1-txc-5301</v>
          </cell>
          <cell r="B462" t="str">
            <v>h1</v>
          </cell>
          <cell r="C462" t="str">
            <v>txc</v>
          </cell>
          <cell r="D462">
            <v>5301</v>
          </cell>
          <cell r="E462" t="str">
            <v xml:space="preserve">	</v>
          </cell>
          <cell r="F462">
            <v>1.1200000000000001</v>
          </cell>
        </row>
        <row r="463">
          <cell r="A463" t="str">
            <v>h1-txc-5302</v>
          </cell>
          <cell r="B463" t="str">
            <v>h1</v>
          </cell>
          <cell r="C463" t="str">
            <v>txc</v>
          </cell>
          <cell r="D463">
            <v>5302</v>
          </cell>
          <cell r="E463" t="str">
            <v xml:space="preserve">	</v>
          </cell>
          <cell r="F463">
            <v>0.17</v>
          </cell>
        </row>
        <row r="464">
          <cell r="A464" t="str">
            <v>h1-txc-5421</v>
          </cell>
          <cell r="B464" t="str">
            <v>h1</v>
          </cell>
          <cell r="C464" t="str">
            <v>txc</v>
          </cell>
          <cell r="D464">
            <v>5421</v>
          </cell>
          <cell r="E464" t="str">
            <v xml:space="preserve">	</v>
          </cell>
          <cell r="F464">
            <v>0.33</v>
          </cell>
        </row>
        <row r="465">
          <cell r="A465" t="str">
            <v>h1-txc-5422</v>
          </cell>
          <cell r="B465" t="str">
            <v>h1</v>
          </cell>
          <cell r="C465" t="str">
            <v>txc</v>
          </cell>
          <cell r="D465">
            <v>5422</v>
          </cell>
          <cell r="E465" t="str">
            <v xml:space="preserve">	</v>
          </cell>
          <cell r="F465">
            <v>0.53</v>
          </cell>
        </row>
        <row r="466">
          <cell r="A466" t="str">
            <v>h1-txc-5411</v>
          </cell>
          <cell r="B466" t="str">
            <v>h1</v>
          </cell>
          <cell r="C466" t="str">
            <v>txc</v>
          </cell>
          <cell r="D466">
            <v>5411</v>
          </cell>
          <cell r="E466" t="str">
            <v xml:space="preserve">	</v>
          </cell>
          <cell r="F466">
            <v>0.21</v>
          </cell>
        </row>
        <row r="467">
          <cell r="A467" t="str">
            <v>h1-txc-5412</v>
          </cell>
          <cell r="B467" t="str">
            <v>h1</v>
          </cell>
          <cell r="C467" t="str">
            <v>txc</v>
          </cell>
          <cell r="D467">
            <v>5412</v>
          </cell>
          <cell r="E467" t="str">
            <v xml:space="preserve">	</v>
          </cell>
          <cell r="F467">
            <v>1.63</v>
          </cell>
        </row>
        <row r="468">
          <cell r="A468" t="str">
            <v>h1-txc-5401</v>
          </cell>
          <cell r="B468" t="str">
            <v>h1</v>
          </cell>
          <cell r="C468" t="str">
            <v>txc</v>
          </cell>
          <cell r="D468">
            <v>5401</v>
          </cell>
          <cell r="E468" t="str">
            <v xml:space="preserve">	</v>
          </cell>
          <cell r="F468">
            <v>0.86</v>
          </cell>
        </row>
        <row r="469">
          <cell r="A469" t="str">
            <v>h1-txc-5402</v>
          </cell>
          <cell r="B469" t="str">
            <v>h1</v>
          </cell>
          <cell r="C469" t="str">
            <v>txc</v>
          </cell>
          <cell r="D469">
            <v>5402</v>
          </cell>
          <cell r="E469" t="str">
            <v xml:space="preserve">	</v>
          </cell>
          <cell r="F469">
            <v>0.77</v>
          </cell>
        </row>
        <row r="470">
          <cell r="A470" t="str">
            <v>h1-txc-5501</v>
          </cell>
          <cell r="B470" t="str">
            <v>h1</v>
          </cell>
          <cell r="C470" t="str">
            <v>txc</v>
          </cell>
          <cell r="D470">
            <v>5501</v>
          </cell>
          <cell r="E470" t="str">
            <v xml:space="preserve">	</v>
          </cell>
          <cell r="F470">
            <v>1.29</v>
          </cell>
        </row>
        <row r="471">
          <cell r="A471" t="str">
            <v>h1-txc-5502</v>
          </cell>
          <cell r="B471" t="str">
            <v>h1</v>
          </cell>
          <cell r="C471" t="str">
            <v>txc</v>
          </cell>
          <cell r="D471">
            <v>5502</v>
          </cell>
          <cell r="E471" t="str">
            <v xml:space="preserve">	</v>
          </cell>
          <cell r="F471">
            <v>0.43</v>
          </cell>
        </row>
        <row r="472">
          <cell r="A472" t="str">
            <v>h1-txc-5511</v>
          </cell>
          <cell r="B472" t="str">
            <v>h1</v>
          </cell>
          <cell r="C472" t="str">
            <v>txc</v>
          </cell>
          <cell r="D472">
            <v>5511</v>
          </cell>
          <cell r="E472" t="str">
            <v xml:space="preserve">	</v>
          </cell>
          <cell r="F472">
            <v>2.12</v>
          </cell>
        </row>
        <row r="473">
          <cell r="A473" t="str">
            <v>h1-txc-5512</v>
          </cell>
          <cell r="B473" t="str">
            <v>h1</v>
          </cell>
          <cell r="C473" t="str">
            <v>txc</v>
          </cell>
          <cell r="D473">
            <v>5512</v>
          </cell>
          <cell r="E473" t="str">
            <v xml:space="preserve">	</v>
          </cell>
          <cell r="F473">
            <v>0.31</v>
          </cell>
        </row>
        <row r="474">
          <cell r="A474" t="str">
            <v>h1-txc-5601</v>
          </cell>
          <cell r="B474" t="str">
            <v>h1</v>
          </cell>
          <cell r="C474" t="str">
            <v>txc</v>
          </cell>
          <cell r="D474">
            <v>5601</v>
          </cell>
          <cell r="E474" t="str">
            <v xml:space="preserve">	</v>
          </cell>
          <cell r="F474">
            <v>9.4600000000000009</v>
          </cell>
        </row>
        <row r="475">
          <cell r="A475" t="str">
            <v>h1-txc-5602</v>
          </cell>
          <cell r="B475" t="str">
            <v>h1</v>
          </cell>
          <cell r="C475" t="str">
            <v>txc</v>
          </cell>
          <cell r="D475">
            <v>5602</v>
          </cell>
          <cell r="E475" t="str">
            <v xml:space="preserve">	</v>
          </cell>
          <cell r="F475">
            <v>7.96</v>
          </cell>
        </row>
        <row r="476">
          <cell r="A476" t="str">
            <v>h1-txc-5801</v>
          </cell>
          <cell r="B476" t="str">
            <v>h1</v>
          </cell>
          <cell r="C476" t="str">
            <v>txc</v>
          </cell>
          <cell r="D476">
            <v>5801</v>
          </cell>
          <cell r="E476" t="str">
            <v xml:space="preserve">	</v>
          </cell>
          <cell r="F476">
            <v>0.4</v>
          </cell>
        </row>
        <row r="477">
          <cell r="A477" t="str">
            <v>h1-txc-5802</v>
          </cell>
          <cell r="B477" t="str">
            <v>h1</v>
          </cell>
          <cell r="C477" t="str">
            <v>txc</v>
          </cell>
          <cell r="D477">
            <v>5802</v>
          </cell>
          <cell r="E477" t="str">
            <v xml:space="preserve">	</v>
          </cell>
          <cell r="F477">
            <v>1.97</v>
          </cell>
        </row>
        <row r="478">
          <cell r="A478" t="str">
            <v>h1-txc-601</v>
          </cell>
          <cell r="B478" t="str">
            <v>h1</v>
          </cell>
          <cell r="C478" t="str">
            <v>txc</v>
          </cell>
          <cell r="D478">
            <v>601</v>
          </cell>
          <cell r="E478" t="str">
            <v xml:space="preserve">	</v>
          </cell>
          <cell r="F478">
            <v>1.0900000000000001</v>
          </cell>
        </row>
        <row r="479">
          <cell r="A479" t="str">
            <v>h1-txc-602</v>
          </cell>
          <cell r="B479" t="str">
            <v>h1</v>
          </cell>
          <cell r="C479" t="str">
            <v>txc</v>
          </cell>
          <cell r="D479">
            <v>602</v>
          </cell>
          <cell r="E479" t="str">
            <v xml:space="preserve">	</v>
          </cell>
          <cell r="F479">
            <v>0.36</v>
          </cell>
        </row>
        <row r="480">
          <cell r="A480" t="str">
            <v>h1-txc-6101</v>
          </cell>
          <cell r="B480" t="str">
            <v>h1</v>
          </cell>
          <cell r="C480" t="str">
            <v>txc</v>
          </cell>
          <cell r="D480">
            <v>6101</v>
          </cell>
          <cell r="E480" t="str">
            <v xml:space="preserve">	</v>
          </cell>
          <cell r="F480">
            <v>1.1000000000000001</v>
          </cell>
        </row>
        <row r="481">
          <cell r="A481" t="str">
            <v>h1-txc-6102</v>
          </cell>
          <cell r="B481" t="str">
            <v>h1</v>
          </cell>
          <cell r="C481" t="str">
            <v>txc</v>
          </cell>
          <cell r="D481">
            <v>6102</v>
          </cell>
          <cell r="E481" t="str">
            <v xml:space="preserve">	</v>
          </cell>
          <cell r="F481">
            <v>0.28999999999999998</v>
          </cell>
        </row>
        <row r="482">
          <cell r="A482" t="str">
            <v>h1-txc-6201</v>
          </cell>
          <cell r="B482" t="str">
            <v>h1</v>
          </cell>
          <cell r="C482" t="str">
            <v>txc</v>
          </cell>
          <cell r="D482">
            <v>6201</v>
          </cell>
          <cell r="E482" t="str">
            <v xml:space="preserve">	</v>
          </cell>
          <cell r="F482">
            <v>0.5</v>
          </cell>
        </row>
        <row r="483">
          <cell r="A483" t="str">
            <v>h1-txc-6202</v>
          </cell>
          <cell r="B483" t="str">
            <v>h1</v>
          </cell>
          <cell r="C483" t="str">
            <v>txc</v>
          </cell>
          <cell r="D483">
            <v>6202</v>
          </cell>
          <cell r="E483" t="str">
            <v xml:space="preserve">	</v>
          </cell>
          <cell r="F483">
            <v>4.41</v>
          </cell>
        </row>
        <row r="484">
          <cell r="A484" t="str">
            <v>h1-txc-6211</v>
          </cell>
          <cell r="B484" t="str">
            <v>h1</v>
          </cell>
          <cell r="C484" t="str">
            <v>txc</v>
          </cell>
          <cell r="D484">
            <v>6211</v>
          </cell>
          <cell r="E484" t="str">
            <v xml:space="preserve">	</v>
          </cell>
          <cell r="F484">
            <v>0.37</v>
          </cell>
        </row>
        <row r="485">
          <cell r="A485" t="str">
            <v>h1-txc-6212</v>
          </cell>
          <cell r="B485" t="str">
            <v>h1</v>
          </cell>
          <cell r="C485" t="str">
            <v>txc</v>
          </cell>
          <cell r="D485">
            <v>6212</v>
          </cell>
          <cell r="E485" t="str">
            <v xml:space="preserve">	</v>
          </cell>
          <cell r="F485">
            <v>0.69</v>
          </cell>
        </row>
        <row r="486">
          <cell r="A486" t="str">
            <v>h1-txc-6501</v>
          </cell>
          <cell r="B486" t="str">
            <v>h1</v>
          </cell>
          <cell r="C486" t="str">
            <v>txc</v>
          </cell>
          <cell r="D486">
            <v>6501</v>
          </cell>
          <cell r="E486" t="str">
            <v xml:space="preserve">	</v>
          </cell>
          <cell r="F486">
            <v>0.46</v>
          </cell>
        </row>
        <row r="487">
          <cell r="A487" t="str">
            <v>h1-txc-6502</v>
          </cell>
          <cell r="B487" t="str">
            <v>h1</v>
          </cell>
          <cell r="C487" t="str">
            <v>txc</v>
          </cell>
          <cell r="D487">
            <v>6502</v>
          </cell>
          <cell r="E487" t="str">
            <v xml:space="preserve">	</v>
          </cell>
          <cell r="F487">
            <v>0.66</v>
          </cell>
        </row>
        <row r="488">
          <cell r="A488" t="str">
            <v>h1-txc-6511</v>
          </cell>
          <cell r="B488" t="str">
            <v>h1</v>
          </cell>
          <cell r="C488" t="str">
            <v>txc</v>
          </cell>
          <cell r="D488">
            <v>6511</v>
          </cell>
          <cell r="E488" t="str">
            <v xml:space="preserve">	</v>
          </cell>
          <cell r="F488">
            <v>0.31</v>
          </cell>
        </row>
        <row r="489">
          <cell r="A489" t="str">
            <v>h1-txc-6512</v>
          </cell>
          <cell r="B489" t="str">
            <v>h1</v>
          </cell>
          <cell r="C489" t="str">
            <v>txc</v>
          </cell>
          <cell r="D489">
            <v>6512</v>
          </cell>
          <cell r="E489" t="str">
            <v xml:space="preserve">	</v>
          </cell>
          <cell r="F489">
            <v>0.12</v>
          </cell>
        </row>
        <row r="490">
          <cell r="A490" t="str">
            <v>h1-txc-6601</v>
          </cell>
          <cell r="B490" t="str">
            <v>h1</v>
          </cell>
          <cell r="C490" t="str">
            <v>txc</v>
          </cell>
          <cell r="D490">
            <v>6601</v>
          </cell>
          <cell r="E490" t="str">
            <v xml:space="preserve">	</v>
          </cell>
          <cell r="F490">
            <v>1.41</v>
          </cell>
        </row>
        <row r="491">
          <cell r="A491" t="str">
            <v>h1-txc-6602</v>
          </cell>
          <cell r="B491" t="str">
            <v>h1</v>
          </cell>
          <cell r="C491" t="str">
            <v>txc</v>
          </cell>
          <cell r="D491">
            <v>6602</v>
          </cell>
          <cell r="E491" t="str">
            <v xml:space="preserve">	</v>
          </cell>
          <cell r="F491">
            <v>9.23</v>
          </cell>
        </row>
        <row r="492">
          <cell r="A492" t="str">
            <v>h1-txc-6621</v>
          </cell>
          <cell r="B492" t="str">
            <v>h1</v>
          </cell>
          <cell r="C492" t="str">
            <v>txc</v>
          </cell>
          <cell r="D492">
            <v>6621</v>
          </cell>
          <cell r="E492" t="str">
            <v xml:space="preserve">	</v>
          </cell>
          <cell r="F492">
            <v>0.2</v>
          </cell>
        </row>
        <row r="493">
          <cell r="A493" t="str">
            <v>h1-txc-6622</v>
          </cell>
          <cell r="B493" t="str">
            <v>h1</v>
          </cell>
          <cell r="C493" t="str">
            <v>txc</v>
          </cell>
          <cell r="D493">
            <v>6622</v>
          </cell>
          <cell r="E493" t="str">
            <v xml:space="preserve">	</v>
          </cell>
          <cell r="F493">
            <v>0.81</v>
          </cell>
        </row>
        <row r="494">
          <cell r="A494" t="str">
            <v>h1-txc-6611</v>
          </cell>
          <cell r="B494" t="str">
            <v>h1</v>
          </cell>
          <cell r="C494" t="str">
            <v>txc</v>
          </cell>
          <cell r="D494">
            <v>6611</v>
          </cell>
          <cell r="E494" t="str">
            <v xml:space="preserve">	</v>
          </cell>
          <cell r="F494">
            <v>1.41</v>
          </cell>
        </row>
        <row r="495">
          <cell r="A495" t="str">
            <v>h1-txc-6612</v>
          </cell>
          <cell r="B495" t="str">
            <v>h1</v>
          </cell>
          <cell r="C495" t="str">
            <v>txc</v>
          </cell>
          <cell r="D495">
            <v>6612</v>
          </cell>
          <cell r="E495" t="str">
            <v xml:space="preserve">	</v>
          </cell>
          <cell r="F495">
            <v>0.38</v>
          </cell>
        </row>
        <row r="496">
          <cell r="A496" t="str">
            <v>h1-txc-6901</v>
          </cell>
          <cell r="B496" t="str">
            <v>h1</v>
          </cell>
          <cell r="C496" t="str">
            <v>txc</v>
          </cell>
          <cell r="D496">
            <v>6901</v>
          </cell>
          <cell r="E496" t="str">
            <v xml:space="preserve">	</v>
          </cell>
          <cell r="F496">
            <v>0.18</v>
          </cell>
        </row>
        <row r="497">
          <cell r="A497" t="str">
            <v>h1-txc-6902</v>
          </cell>
          <cell r="B497" t="str">
            <v>h1</v>
          </cell>
          <cell r="C497" t="str">
            <v>txc</v>
          </cell>
          <cell r="D497">
            <v>6902</v>
          </cell>
          <cell r="E497" t="str">
            <v xml:space="preserve">	</v>
          </cell>
          <cell r="F497">
            <v>3.65</v>
          </cell>
        </row>
        <row r="498">
          <cell r="A498" t="str">
            <v>h1-txc-6911</v>
          </cell>
          <cell r="B498" t="str">
            <v>h1</v>
          </cell>
          <cell r="C498" t="str">
            <v>txc</v>
          </cell>
          <cell r="D498">
            <v>6911</v>
          </cell>
          <cell r="E498" t="str">
            <v xml:space="preserve">	</v>
          </cell>
          <cell r="F498">
            <v>0.2</v>
          </cell>
        </row>
        <row r="499">
          <cell r="A499" t="str">
            <v>h1-txc-6912</v>
          </cell>
          <cell r="B499" t="str">
            <v>h1</v>
          </cell>
          <cell r="C499" t="str">
            <v>txc</v>
          </cell>
          <cell r="D499">
            <v>6912</v>
          </cell>
          <cell r="E499" t="str">
            <v xml:space="preserve">	</v>
          </cell>
          <cell r="F499">
            <v>4.6100000000000003</v>
          </cell>
        </row>
        <row r="500">
          <cell r="A500" t="str">
            <v>h1-txc-6921</v>
          </cell>
          <cell r="B500" t="str">
            <v>h1</v>
          </cell>
          <cell r="C500" t="str">
            <v>txc</v>
          </cell>
          <cell r="D500">
            <v>6921</v>
          </cell>
          <cell r="E500" t="str">
            <v xml:space="preserve">	</v>
          </cell>
          <cell r="F500">
            <v>1.58</v>
          </cell>
        </row>
        <row r="501">
          <cell r="A501" t="str">
            <v>h1-txc-6922</v>
          </cell>
          <cell r="B501" t="str">
            <v>h1</v>
          </cell>
          <cell r="C501" t="str">
            <v>txc</v>
          </cell>
          <cell r="D501">
            <v>6922</v>
          </cell>
          <cell r="E501" t="str">
            <v xml:space="preserve">	</v>
          </cell>
          <cell r="F501">
            <v>0.64</v>
          </cell>
        </row>
        <row r="502">
          <cell r="A502" t="str">
            <v>h1-txc-711</v>
          </cell>
          <cell r="B502" t="str">
            <v>h1</v>
          </cell>
          <cell r="C502" t="str">
            <v>txc</v>
          </cell>
          <cell r="D502">
            <v>711</v>
          </cell>
          <cell r="E502" t="str">
            <v xml:space="preserve">	</v>
          </cell>
          <cell r="F502">
            <v>2.82</v>
          </cell>
        </row>
        <row r="503">
          <cell r="A503" t="str">
            <v>h1-txc-712</v>
          </cell>
          <cell r="B503" t="str">
            <v>h1</v>
          </cell>
          <cell r="C503" t="str">
            <v>txc</v>
          </cell>
          <cell r="D503">
            <v>712</v>
          </cell>
          <cell r="E503" t="str">
            <v xml:space="preserve">	</v>
          </cell>
          <cell r="F503">
            <v>0.41</v>
          </cell>
        </row>
        <row r="504">
          <cell r="A504" t="str">
            <v>h1-txc-721</v>
          </cell>
          <cell r="B504" t="str">
            <v>h1</v>
          </cell>
          <cell r="C504" t="str">
            <v>txc</v>
          </cell>
          <cell r="D504">
            <v>721</v>
          </cell>
          <cell r="E504" t="str">
            <v xml:space="preserve">	</v>
          </cell>
          <cell r="F504">
            <v>0.36</v>
          </cell>
        </row>
        <row r="505">
          <cell r="A505" t="str">
            <v>h1-txc-722</v>
          </cell>
          <cell r="B505" t="str">
            <v>h1</v>
          </cell>
          <cell r="C505" t="str">
            <v>txc</v>
          </cell>
          <cell r="D505">
            <v>722</v>
          </cell>
          <cell r="E505" t="str">
            <v xml:space="preserve">	</v>
          </cell>
          <cell r="F505">
            <v>0.39</v>
          </cell>
        </row>
        <row r="506">
          <cell r="A506" t="str">
            <v>h1-txc-701</v>
          </cell>
          <cell r="B506" t="str">
            <v>h1</v>
          </cell>
          <cell r="C506" t="str">
            <v>txc</v>
          </cell>
          <cell r="D506">
            <v>701</v>
          </cell>
          <cell r="E506" t="str">
            <v xml:space="preserve">	</v>
          </cell>
          <cell r="F506">
            <v>1.22</v>
          </cell>
        </row>
        <row r="507">
          <cell r="A507" t="str">
            <v>h1-txc-702</v>
          </cell>
          <cell r="B507" t="str">
            <v>h1</v>
          </cell>
          <cell r="C507" t="str">
            <v>txc</v>
          </cell>
          <cell r="D507">
            <v>702</v>
          </cell>
          <cell r="E507" t="str">
            <v xml:space="preserve">	</v>
          </cell>
          <cell r="F507">
            <v>0.35</v>
          </cell>
        </row>
        <row r="508">
          <cell r="A508" t="str">
            <v>h1-txc-7001</v>
          </cell>
          <cell r="B508" t="str">
            <v>h1</v>
          </cell>
          <cell r="C508" t="str">
            <v>txc</v>
          </cell>
          <cell r="D508">
            <v>7001</v>
          </cell>
          <cell r="E508" t="str">
            <v xml:space="preserve">	</v>
          </cell>
          <cell r="F508">
            <v>7.82</v>
          </cell>
        </row>
        <row r="509">
          <cell r="A509" t="str">
            <v>h1-txc-7002</v>
          </cell>
          <cell r="B509" t="str">
            <v>h1</v>
          </cell>
          <cell r="C509" t="str">
            <v>txc</v>
          </cell>
          <cell r="D509">
            <v>7002</v>
          </cell>
          <cell r="E509" t="str">
            <v xml:space="preserve">	</v>
          </cell>
          <cell r="F509">
            <v>8.68</v>
          </cell>
        </row>
        <row r="510">
          <cell r="A510" t="str">
            <v>h1-txc-7101</v>
          </cell>
          <cell r="B510" t="str">
            <v>h1</v>
          </cell>
          <cell r="C510" t="str">
            <v>txc</v>
          </cell>
          <cell r="D510">
            <v>7101</v>
          </cell>
          <cell r="E510" t="str">
            <v xml:space="preserve">	</v>
          </cell>
          <cell r="F510">
            <v>0.16</v>
          </cell>
        </row>
        <row r="511">
          <cell r="A511" t="str">
            <v>h1-txc-7102</v>
          </cell>
          <cell r="B511" t="str">
            <v>h1</v>
          </cell>
          <cell r="C511" t="str">
            <v>txc</v>
          </cell>
          <cell r="D511">
            <v>7102</v>
          </cell>
          <cell r="E511" t="str">
            <v xml:space="preserve">	</v>
          </cell>
          <cell r="F511">
            <v>0.65</v>
          </cell>
        </row>
        <row r="512">
          <cell r="A512" t="str">
            <v>h1-txc-7111</v>
          </cell>
          <cell r="B512" t="str">
            <v>h1</v>
          </cell>
          <cell r="C512" t="str">
            <v>txc</v>
          </cell>
          <cell r="D512">
            <v>7111</v>
          </cell>
          <cell r="E512" t="str">
            <v xml:space="preserve">	</v>
          </cell>
          <cell r="F512">
            <v>2.82</v>
          </cell>
        </row>
        <row r="513">
          <cell r="A513" t="str">
            <v>h1-txc-7112</v>
          </cell>
          <cell r="B513" t="str">
            <v>h1</v>
          </cell>
          <cell r="C513" t="str">
            <v>txc</v>
          </cell>
          <cell r="D513">
            <v>7112</v>
          </cell>
          <cell r="E513" t="str">
            <v xml:space="preserve">	</v>
          </cell>
          <cell r="F513">
            <v>1</v>
          </cell>
        </row>
        <row r="514">
          <cell r="A514" t="str">
            <v>h1-txc-7121</v>
          </cell>
          <cell r="B514" t="str">
            <v>h1</v>
          </cell>
          <cell r="C514" t="str">
            <v>txc</v>
          </cell>
          <cell r="D514">
            <v>7121</v>
          </cell>
          <cell r="E514" t="str">
            <v xml:space="preserve">	</v>
          </cell>
          <cell r="F514">
            <v>0.14000000000000001</v>
          </cell>
        </row>
        <row r="515">
          <cell r="A515" t="str">
            <v>h1-txc-7122</v>
          </cell>
          <cell r="B515" t="str">
            <v>h1</v>
          </cell>
          <cell r="C515" t="str">
            <v>txc</v>
          </cell>
          <cell r="D515">
            <v>7122</v>
          </cell>
          <cell r="E515" t="str">
            <v xml:space="preserve">	</v>
          </cell>
          <cell r="F515">
            <v>1.3</v>
          </cell>
        </row>
        <row r="516">
          <cell r="A516" t="str">
            <v>h1-txc-7301</v>
          </cell>
          <cell r="B516" t="str">
            <v>h1</v>
          </cell>
          <cell r="C516" t="str">
            <v>txc</v>
          </cell>
          <cell r="D516">
            <v>7301</v>
          </cell>
          <cell r="E516" t="str">
            <v xml:space="preserve">	</v>
          </cell>
          <cell r="F516">
            <v>1.68</v>
          </cell>
        </row>
        <row r="517">
          <cell r="A517" t="str">
            <v>h1-txc-7302</v>
          </cell>
          <cell r="B517" t="str">
            <v>h1</v>
          </cell>
          <cell r="C517" t="str">
            <v>txc</v>
          </cell>
          <cell r="D517">
            <v>7302</v>
          </cell>
          <cell r="E517" t="str">
            <v xml:space="preserve">	</v>
          </cell>
          <cell r="F517">
            <v>4.3899999999999997</v>
          </cell>
        </row>
        <row r="518">
          <cell r="A518" t="str">
            <v>h1-txc-7421</v>
          </cell>
          <cell r="B518" t="str">
            <v>h1</v>
          </cell>
          <cell r="C518" t="str">
            <v>txc</v>
          </cell>
          <cell r="D518">
            <v>7421</v>
          </cell>
          <cell r="E518" t="str">
            <v xml:space="preserve">	</v>
          </cell>
          <cell r="F518">
            <v>0.64</v>
          </cell>
        </row>
        <row r="519">
          <cell r="A519" t="str">
            <v>h1-txc-7422</v>
          </cell>
          <cell r="B519" t="str">
            <v>h1</v>
          </cell>
          <cell r="C519" t="str">
            <v>txc</v>
          </cell>
          <cell r="D519">
            <v>7422</v>
          </cell>
          <cell r="E519" t="str">
            <v xml:space="preserve">	</v>
          </cell>
          <cell r="F519">
            <v>7.08</v>
          </cell>
        </row>
        <row r="520">
          <cell r="A520" t="str">
            <v>h1-txc-7411</v>
          </cell>
          <cell r="B520" t="str">
            <v>h1</v>
          </cell>
          <cell r="C520" t="str">
            <v>txc</v>
          </cell>
          <cell r="D520">
            <v>7411</v>
          </cell>
          <cell r="E520" t="str">
            <v xml:space="preserve">	</v>
          </cell>
          <cell r="F520">
            <v>1.67</v>
          </cell>
        </row>
        <row r="521">
          <cell r="A521" t="str">
            <v>h1-txc-7412</v>
          </cell>
          <cell r="B521" t="str">
            <v>h1</v>
          </cell>
          <cell r="C521" t="str">
            <v>txc</v>
          </cell>
          <cell r="D521">
            <v>7412</v>
          </cell>
          <cell r="E521" t="str">
            <v xml:space="preserve">	</v>
          </cell>
          <cell r="F521">
            <v>0.71</v>
          </cell>
        </row>
        <row r="522">
          <cell r="A522" t="str">
            <v>h1-txc-7401</v>
          </cell>
          <cell r="B522" t="str">
            <v>h1</v>
          </cell>
          <cell r="C522" t="str">
            <v>txc</v>
          </cell>
          <cell r="D522">
            <v>7401</v>
          </cell>
          <cell r="E522" t="str">
            <v xml:space="preserve">	</v>
          </cell>
          <cell r="F522">
            <v>2.1</v>
          </cell>
        </row>
        <row r="523">
          <cell r="A523" t="str">
            <v>h1-txc-7402</v>
          </cell>
          <cell r="B523" t="str">
            <v>h1</v>
          </cell>
          <cell r="C523" t="str">
            <v>txc</v>
          </cell>
          <cell r="D523">
            <v>7402</v>
          </cell>
          <cell r="E523" t="str">
            <v xml:space="preserve">	</v>
          </cell>
          <cell r="F523">
            <v>0.39</v>
          </cell>
        </row>
        <row r="524">
          <cell r="A524" t="str">
            <v>h1-txc-7501</v>
          </cell>
          <cell r="B524" t="str">
            <v>h1</v>
          </cell>
          <cell r="C524" t="str">
            <v>txc</v>
          </cell>
          <cell r="D524">
            <v>7501</v>
          </cell>
          <cell r="E524" t="str">
            <v xml:space="preserve">	</v>
          </cell>
          <cell r="F524">
            <v>1.95</v>
          </cell>
        </row>
        <row r="525">
          <cell r="A525" t="str">
            <v>h1-txc-7502</v>
          </cell>
          <cell r="B525" t="str">
            <v>h1</v>
          </cell>
          <cell r="C525" t="str">
            <v>txc</v>
          </cell>
          <cell r="D525">
            <v>7502</v>
          </cell>
          <cell r="E525" t="str">
            <v xml:space="preserve">	</v>
          </cell>
          <cell r="F525">
            <v>0.25</v>
          </cell>
        </row>
        <row r="526">
          <cell r="A526" t="str">
            <v>h1-txc-7521</v>
          </cell>
          <cell r="B526" t="str">
            <v>h1</v>
          </cell>
          <cell r="C526" t="str">
            <v>txc</v>
          </cell>
          <cell r="D526">
            <v>7521</v>
          </cell>
          <cell r="E526" t="str">
            <v xml:space="preserve">	</v>
          </cell>
          <cell r="F526">
            <v>0.39</v>
          </cell>
        </row>
        <row r="527">
          <cell r="A527" t="str">
            <v>h1-txc-7522</v>
          </cell>
          <cell r="B527" t="str">
            <v>h1</v>
          </cell>
          <cell r="C527" t="str">
            <v>txc</v>
          </cell>
          <cell r="D527">
            <v>7522</v>
          </cell>
          <cell r="E527" t="str">
            <v xml:space="preserve">	</v>
          </cell>
          <cell r="F527">
            <v>0.24</v>
          </cell>
        </row>
        <row r="528">
          <cell r="A528" t="str">
            <v>h1-txc-7511</v>
          </cell>
          <cell r="B528" t="str">
            <v>h1</v>
          </cell>
          <cell r="C528" t="str">
            <v>txc</v>
          </cell>
          <cell r="D528">
            <v>7511</v>
          </cell>
          <cell r="E528" t="str">
            <v xml:space="preserve">	</v>
          </cell>
          <cell r="F528">
            <v>2.79</v>
          </cell>
        </row>
        <row r="529">
          <cell r="A529" t="str">
            <v>h1-txc-7512</v>
          </cell>
          <cell r="B529" t="str">
            <v>h1</v>
          </cell>
          <cell r="C529" t="str">
            <v>txc</v>
          </cell>
          <cell r="D529">
            <v>7512</v>
          </cell>
          <cell r="E529" t="str">
            <v xml:space="preserve">	</v>
          </cell>
          <cell r="F529">
            <v>0.72</v>
          </cell>
        </row>
        <row r="530">
          <cell r="A530" t="str">
            <v>h1-txc-7701</v>
          </cell>
          <cell r="B530" t="str">
            <v>h1</v>
          </cell>
          <cell r="C530" t="str">
            <v>txc</v>
          </cell>
          <cell r="D530">
            <v>7701</v>
          </cell>
          <cell r="E530" t="str">
            <v xml:space="preserve">	</v>
          </cell>
          <cell r="F530">
            <v>3.44</v>
          </cell>
        </row>
        <row r="531">
          <cell r="A531" t="str">
            <v>h1-txc-7702</v>
          </cell>
          <cell r="B531" t="str">
            <v>h1</v>
          </cell>
          <cell r="C531" t="str">
            <v>txc</v>
          </cell>
          <cell r="D531">
            <v>7702</v>
          </cell>
          <cell r="E531" t="str">
            <v xml:space="preserve">	</v>
          </cell>
          <cell r="F531">
            <v>2.38</v>
          </cell>
        </row>
        <row r="532">
          <cell r="A532" t="str">
            <v>h1-txc-7711</v>
          </cell>
          <cell r="B532" t="str">
            <v>h1</v>
          </cell>
          <cell r="C532" t="str">
            <v>txc</v>
          </cell>
          <cell r="D532">
            <v>7711</v>
          </cell>
          <cell r="E532" t="str">
            <v xml:space="preserve">	</v>
          </cell>
          <cell r="F532">
            <v>0.83</v>
          </cell>
        </row>
        <row r="533">
          <cell r="A533" t="str">
            <v>h1-txc-7712</v>
          </cell>
          <cell r="B533" t="str">
            <v>h1</v>
          </cell>
          <cell r="C533" t="str">
            <v>txc</v>
          </cell>
          <cell r="D533">
            <v>7712</v>
          </cell>
          <cell r="E533" t="str">
            <v xml:space="preserve">	</v>
          </cell>
          <cell r="F533">
            <v>0.74</v>
          </cell>
        </row>
        <row r="534">
          <cell r="A534" t="str">
            <v>h1-txc-7721</v>
          </cell>
          <cell r="B534" t="str">
            <v>h1</v>
          </cell>
          <cell r="C534" t="str">
            <v>txc</v>
          </cell>
          <cell r="D534">
            <v>7721</v>
          </cell>
          <cell r="E534" t="str">
            <v xml:space="preserve">	</v>
          </cell>
          <cell r="F534">
            <v>0.28999999999999998</v>
          </cell>
        </row>
        <row r="535">
          <cell r="A535" t="str">
            <v>h1-txc-7722</v>
          </cell>
          <cell r="B535" t="str">
            <v>h1</v>
          </cell>
          <cell r="C535" t="str">
            <v>txc</v>
          </cell>
          <cell r="D535">
            <v>7722</v>
          </cell>
          <cell r="E535" t="str">
            <v xml:space="preserve">	</v>
          </cell>
          <cell r="F535">
            <v>0.55000000000000004</v>
          </cell>
        </row>
        <row r="536">
          <cell r="A536" t="str">
            <v>h1-txc-7801</v>
          </cell>
          <cell r="B536" t="str">
            <v>h1</v>
          </cell>
          <cell r="C536" t="str">
            <v>txc</v>
          </cell>
          <cell r="D536">
            <v>7801</v>
          </cell>
          <cell r="E536" t="str">
            <v xml:space="preserve">	</v>
          </cell>
          <cell r="F536">
            <v>12.55</v>
          </cell>
        </row>
        <row r="537">
          <cell r="A537" t="str">
            <v>h1-txc-7802</v>
          </cell>
          <cell r="B537" t="str">
            <v>h1</v>
          </cell>
          <cell r="C537" t="str">
            <v>txc</v>
          </cell>
          <cell r="D537">
            <v>7802</v>
          </cell>
          <cell r="E537" t="str">
            <v xml:space="preserve">	</v>
          </cell>
          <cell r="F537">
            <v>0.53</v>
          </cell>
        </row>
        <row r="538">
          <cell r="A538" t="str">
            <v>h1-txc-731</v>
          </cell>
          <cell r="B538" t="str">
            <v>h1</v>
          </cell>
          <cell r="C538" t="str">
            <v>txc</v>
          </cell>
          <cell r="D538">
            <v>731</v>
          </cell>
          <cell r="E538" t="str">
            <v xml:space="preserve">	</v>
          </cell>
          <cell r="F538">
            <v>0.32</v>
          </cell>
        </row>
        <row r="539">
          <cell r="A539" t="str">
            <v>h1-txc-732</v>
          </cell>
          <cell r="B539" t="str">
            <v>h1</v>
          </cell>
          <cell r="C539" t="str">
            <v>txc</v>
          </cell>
          <cell r="D539">
            <v>732</v>
          </cell>
          <cell r="E539" t="str">
            <v xml:space="preserve">	</v>
          </cell>
          <cell r="F539">
            <v>0.34</v>
          </cell>
        </row>
        <row r="540">
          <cell r="A540" t="str">
            <v>h1-txc-741</v>
          </cell>
          <cell r="B540" t="str">
            <v>h1</v>
          </cell>
          <cell r="C540" t="str">
            <v>txc</v>
          </cell>
          <cell r="D540">
            <v>741</v>
          </cell>
          <cell r="E540" t="str">
            <v xml:space="preserve">	</v>
          </cell>
          <cell r="F540">
            <v>0.31</v>
          </cell>
        </row>
        <row r="541">
          <cell r="A541" t="str">
            <v>h1-txc-742</v>
          </cell>
          <cell r="B541" t="str">
            <v>h1</v>
          </cell>
          <cell r="C541" t="str">
            <v>txc</v>
          </cell>
          <cell r="D541">
            <v>742</v>
          </cell>
          <cell r="E541" t="str">
            <v xml:space="preserve">	</v>
          </cell>
          <cell r="F541">
            <v>0.41</v>
          </cell>
        </row>
        <row r="542">
          <cell r="A542" t="str">
            <v>h1-txc-802</v>
          </cell>
          <cell r="B542" t="str">
            <v>h1</v>
          </cell>
          <cell r="C542" t="str">
            <v>txc</v>
          </cell>
          <cell r="D542">
            <v>802</v>
          </cell>
          <cell r="E542" t="str">
            <v xml:space="preserve">	</v>
          </cell>
          <cell r="F542">
            <v>0.71</v>
          </cell>
        </row>
        <row r="543">
          <cell r="A543" t="str">
            <v>h1-txc-811</v>
          </cell>
          <cell r="B543" t="str">
            <v>h1</v>
          </cell>
          <cell r="C543" t="str">
            <v>txc</v>
          </cell>
          <cell r="D543">
            <v>811</v>
          </cell>
          <cell r="E543" t="str">
            <v xml:space="preserve">	</v>
          </cell>
          <cell r="F543">
            <v>7.58</v>
          </cell>
        </row>
        <row r="544">
          <cell r="A544" t="str">
            <v>h1-txc-812</v>
          </cell>
          <cell r="B544" t="str">
            <v>h1</v>
          </cell>
          <cell r="C544" t="str">
            <v>txc</v>
          </cell>
          <cell r="D544">
            <v>812</v>
          </cell>
          <cell r="E544" t="str">
            <v xml:space="preserve">	</v>
          </cell>
          <cell r="F544">
            <v>2.86</v>
          </cell>
        </row>
        <row r="545">
          <cell r="A545" t="str">
            <v>h1-txc-8001</v>
          </cell>
          <cell r="B545" t="str">
            <v>h1</v>
          </cell>
          <cell r="C545" t="str">
            <v>txc</v>
          </cell>
          <cell r="D545">
            <v>8001</v>
          </cell>
          <cell r="E545" t="str">
            <v xml:space="preserve">	</v>
          </cell>
          <cell r="F545">
            <v>1.1399999999999999</v>
          </cell>
        </row>
        <row r="546">
          <cell r="A546" t="str">
            <v>h1-txc-8002</v>
          </cell>
          <cell r="B546" t="str">
            <v>h1</v>
          </cell>
          <cell r="C546" t="str">
            <v>txc</v>
          </cell>
          <cell r="D546">
            <v>8002</v>
          </cell>
          <cell r="E546" t="str">
            <v xml:space="preserve">	</v>
          </cell>
          <cell r="F546">
            <v>0.32</v>
          </cell>
        </row>
        <row r="547">
          <cell r="A547" t="str">
            <v>h1-txc-8201</v>
          </cell>
          <cell r="B547" t="str">
            <v>h1</v>
          </cell>
          <cell r="C547" t="str">
            <v>txc</v>
          </cell>
          <cell r="D547">
            <v>8201</v>
          </cell>
          <cell r="E547" t="str">
            <v xml:space="preserve">	</v>
          </cell>
          <cell r="F547">
            <v>0.54</v>
          </cell>
        </row>
        <row r="548">
          <cell r="A548" t="str">
            <v>h1-txc-8202</v>
          </cell>
          <cell r="B548" t="str">
            <v>h1</v>
          </cell>
          <cell r="C548" t="str">
            <v>txc</v>
          </cell>
          <cell r="D548">
            <v>8202</v>
          </cell>
          <cell r="E548" t="str">
            <v xml:space="preserve">	</v>
          </cell>
          <cell r="F548">
            <v>0.53</v>
          </cell>
        </row>
        <row r="549">
          <cell r="A549" t="str">
            <v>h1-txc-8301</v>
          </cell>
          <cell r="B549" t="str">
            <v>h1</v>
          </cell>
          <cell r="C549" t="str">
            <v>txc</v>
          </cell>
          <cell r="D549">
            <v>8301</v>
          </cell>
          <cell r="E549" t="str">
            <v xml:space="preserve">	</v>
          </cell>
          <cell r="F549">
            <v>3.32</v>
          </cell>
        </row>
        <row r="550">
          <cell r="A550" t="str">
            <v>h1-txc-8302</v>
          </cell>
          <cell r="B550" t="str">
            <v>h1</v>
          </cell>
          <cell r="C550" t="str">
            <v>txc</v>
          </cell>
          <cell r="D550">
            <v>8302</v>
          </cell>
          <cell r="E550" t="str">
            <v xml:space="preserve">	</v>
          </cell>
          <cell r="F550">
            <v>0.33</v>
          </cell>
        </row>
        <row r="551">
          <cell r="A551" t="str">
            <v>h1-txc-8611</v>
          </cell>
          <cell r="B551" t="str">
            <v>h1</v>
          </cell>
          <cell r="C551" t="str">
            <v>txc</v>
          </cell>
          <cell r="D551">
            <v>8611</v>
          </cell>
          <cell r="E551" t="str">
            <v xml:space="preserve">	</v>
          </cell>
          <cell r="F551">
            <v>0.56000000000000005</v>
          </cell>
        </row>
        <row r="552">
          <cell r="A552" t="str">
            <v>h1-txc-8612</v>
          </cell>
          <cell r="B552" t="str">
            <v>h1</v>
          </cell>
          <cell r="C552" t="str">
            <v>txc</v>
          </cell>
          <cell r="D552">
            <v>8612</v>
          </cell>
          <cell r="E552" t="str">
            <v xml:space="preserve">	</v>
          </cell>
          <cell r="F552">
            <v>0.49</v>
          </cell>
        </row>
        <row r="553">
          <cell r="A553" t="str">
            <v>h1-txc-8621</v>
          </cell>
          <cell r="B553" t="str">
            <v>h1</v>
          </cell>
          <cell r="C553" t="str">
            <v>txc</v>
          </cell>
          <cell r="D553">
            <v>8621</v>
          </cell>
          <cell r="E553" t="str">
            <v xml:space="preserve">	</v>
          </cell>
          <cell r="F553">
            <v>26.4</v>
          </cell>
        </row>
        <row r="554">
          <cell r="A554" t="str">
            <v>h1-txc-8622</v>
          </cell>
          <cell r="B554" t="str">
            <v>h1</v>
          </cell>
          <cell r="C554" t="str">
            <v>txc</v>
          </cell>
          <cell r="D554">
            <v>8622</v>
          </cell>
          <cell r="E554" t="str">
            <v xml:space="preserve">	</v>
          </cell>
          <cell r="F554">
            <v>1.85</v>
          </cell>
        </row>
        <row r="555">
          <cell r="A555" t="str">
            <v>h1-txc-8701</v>
          </cell>
          <cell r="B555" t="str">
            <v>h1</v>
          </cell>
          <cell r="C555" t="str">
            <v>txc</v>
          </cell>
          <cell r="D555">
            <v>8701</v>
          </cell>
          <cell r="E555" t="str">
            <v xml:space="preserve">	</v>
          </cell>
          <cell r="F555">
            <v>22.8</v>
          </cell>
        </row>
        <row r="556">
          <cell r="A556" t="str">
            <v>h1-txc-8711</v>
          </cell>
          <cell r="B556" t="str">
            <v>h1</v>
          </cell>
          <cell r="C556" t="str">
            <v>txc</v>
          </cell>
          <cell r="D556">
            <v>8711</v>
          </cell>
          <cell r="E556" t="str">
            <v xml:space="preserve">	</v>
          </cell>
          <cell r="F556">
            <v>5.55</v>
          </cell>
        </row>
        <row r="557">
          <cell r="A557" t="str">
            <v>h1-txc-8712</v>
          </cell>
          <cell r="B557" t="str">
            <v>h1</v>
          </cell>
          <cell r="C557" t="str">
            <v>txc</v>
          </cell>
          <cell r="D557">
            <v>8712</v>
          </cell>
          <cell r="E557" t="str">
            <v xml:space="preserve">	</v>
          </cell>
          <cell r="F557">
            <v>0.31</v>
          </cell>
        </row>
        <row r="558">
          <cell r="A558" t="str">
            <v>h1-txc-8901</v>
          </cell>
          <cell r="B558" t="str">
            <v>h1</v>
          </cell>
          <cell r="C558" t="str">
            <v>txc</v>
          </cell>
          <cell r="D558">
            <v>8901</v>
          </cell>
          <cell r="E558" t="str">
            <v xml:space="preserve">	</v>
          </cell>
          <cell r="F558">
            <v>1.47</v>
          </cell>
        </row>
        <row r="559">
          <cell r="A559" t="str">
            <v>h1-txc-8902</v>
          </cell>
          <cell r="B559" t="str">
            <v>h1</v>
          </cell>
          <cell r="C559" t="str">
            <v>txc</v>
          </cell>
          <cell r="D559">
            <v>8902</v>
          </cell>
          <cell r="E559" t="str">
            <v xml:space="preserve">	</v>
          </cell>
          <cell r="F559">
            <v>0.33</v>
          </cell>
        </row>
        <row r="560">
          <cell r="A560" t="str">
            <v>h1-txc-901</v>
          </cell>
          <cell r="B560" t="str">
            <v>h1</v>
          </cell>
          <cell r="C560" t="str">
            <v>txc</v>
          </cell>
          <cell r="D560">
            <v>901</v>
          </cell>
          <cell r="E560" t="str">
            <v xml:space="preserve">	</v>
          </cell>
          <cell r="F560">
            <v>3.14</v>
          </cell>
        </row>
        <row r="561">
          <cell r="A561" t="str">
            <v>h1-txc-902</v>
          </cell>
          <cell r="B561" t="str">
            <v>h1</v>
          </cell>
          <cell r="C561" t="str">
            <v>txc</v>
          </cell>
          <cell r="D561">
            <v>902</v>
          </cell>
          <cell r="E561" t="str">
            <v xml:space="preserve">	</v>
          </cell>
          <cell r="F561">
            <v>9.57</v>
          </cell>
        </row>
        <row r="562">
          <cell r="A562" t="str">
            <v>h1-txc-9001</v>
          </cell>
          <cell r="B562" t="str">
            <v>h1</v>
          </cell>
          <cell r="C562" t="str">
            <v>txc</v>
          </cell>
          <cell r="D562">
            <v>9001</v>
          </cell>
          <cell r="E562" t="str">
            <v xml:space="preserve">	</v>
          </cell>
          <cell r="F562">
            <v>0.48</v>
          </cell>
        </row>
        <row r="563">
          <cell r="A563" t="str">
            <v>h1-txc-9002</v>
          </cell>
          <cell r="B563" t="str">
            <v>h1</v>
          </cell>
          <cell r="C563" t="str">
            <v>txc</v>
          </cell>
          <cell r="D563">
            <v>9002</v>
          </cell>
          <cell r="E563" t="str">
            <v xml:space="preserve">	</v>
          </cell>
          <cell r="F563">
            <v>1.0900000000000001</v>
          </cell>
        </row>
        <row r="564">
          <cell r="A564" t="str">
            <v>h1-txc-9211</v>
          </cell>
          <cell r="B564" t="str">
            <v>h1</v>
          </cell>
          <cell r="C564" t="str">
            <v>txc</v>
          </cell>
          <cell r="D564">
            <v>9211</v>
          </cell>
          <cell r="E564" t="str">
            <v xml:space="preserve">	</v>
          </cell>
          <cell r="F564">
            <v>0.3</v>
          </cell>
        </row>
        <row r="565">
          <cell r="A565" t="str">
            <v>h1-txc-9212</v>
          </cell>
          <cell r="B565" t="str">
            <v>h1</v>
          </cell>
          <cell r="C565" t="str">
            <v>txc</v>
          </cell>
          <cell r="D565">
            <v>9212</v>
          </cell>
          <cell r="E565" t="str">
            <v xml:space="preserve">	</v>
          </cell>
          <cell r="F565">
            <v>0.92</v>
          </cell>
        </row>
        <row r="566">
          <cell r="A566" t="str">
            <v>h1-txc-9201</v>
          </cell>
          <cell r="B566" t="str">
            <v>h1</v>
          </cell>
          <cell r="C566" t="str">
            <v>txc</v>
          </cell>
          <cell r="D566">
            <v>9201</v>
          </cell>
          <cell r="E566" t="str">
            <v xml:space="preserve">	</v>
          </cell>
          <cell r="F566">
            <v>7.0000000000000007E-2</v>
          </cell>
        </row>
        <row r="567">
          <cell r="A567" t="str">
            <v>h1-txc-9202</v>
          </cell>
          <cell r="B567" t="str">
            <v>h1</v>
          </cell>
          <cell r="C567" t="str">
            <v>txc</v>
          </cell>
          <cell r="D567">
            <v>9202</v>
          </cell>
          <cell r="E567" t="str">
            <v xml:space="preserve">	</v>
          </cell>
          <cell r="F567">
            <v>0.64</v>
          </cell>
        </row>
        <row r="568">
          <cell r="A568" t="str">
            <v>h1-txc-9301</v>
          </cell>
          <cell r="B568" t="str">
            <v>h1</v>
          </cell>
          <cell r="C568" t="str">
            <v>txc</v>
          </cell>
          <cell r="D568">
            <v>9301</v>
          </cell>
          <cell r="E568" t="str">
            <v xml:space="preserve">	</v>
          </cell>
          <cell r="F568">
            <v>2.25</v>
          </cell>
        </row>
        <row r="569">
          <cell r="A569" t="str">
            <v>h1-txc-9302</v>
          </cell>
          <cell r="B569" t="str">
            <v>h1</v>
          </cell>
          <cell r="C569" t="str">
            <v>txc</v>
          </cell>
          <cell r="D569">
            <v>9302</v>
          </cell>
          <cell r="E569" t="str">
            <v xml:space="preserve">	</v>
          </cell>
          <cell r="F569">
            <v>8.75</v>
          </cell>
        </row>
        <row r="570">
          <cell r="A570" t="str">
            <v>h1-txc-9401</v>
          </cell>
          <cell r="B570" t="str">
            <v>h1</v>
          </cell>
          <cell r="C570" t="str">
            <v>txc</v>
          </cell>
          <cell r="D570">
            <v>9401</v>
          </cell>
          <cell r="E570" t="str">
            <v xml:space="preserve">	</v>
          </cell>
          <cell r="F570">
            <v>0.37</v>
          </cell>
        </row>
        <row r="571">
          <cell r="A571" t="str">
            <v>h1-txc-9701</v>
          </cell>
          <cell r="B571" t="str">
            <v>h1</v>
          </cell>
          <cell r="C571" t="str">
            <v>txc</v>
          </cell>
          <cell r="D571">
            <v>9701</v>
          </cell>
          <cell r="E571" t="str">
            <v xml:space="preserve">	</v>
          </cell>
          <cell r="F571">
            <v>0.32</v>
          </cell>
        </row>
        <row r="572">
          <cell r="A572" t="str">
            <v>h1-txc-9702</v>
          </cell>
          <cell r="B572" t="str">
            <v>h1</v>
          </cell>
          <cell r="C572" t="str">
            <v>txc</v>
          </cell>
          <cell r="D572">
            <v>9702</v>
          </cell>
          <cell r="E572" t="str">
            <v xml:space="preserve">	</v>
          </cell>
          <cell r="F572">
            <v>7.97</v>
          </cell>
        </row>
        <row r="573">
          <cell r="A573" t="str">
            <v>h1-txc-77712</v>
          </cell>
          <cell r="B573" t="str">
            <v>h1</v>
          </cell>
          <cell r="C573" t="str">
            <v>txc</v>
          </cell>
          <cell r="D573">
            <v>77712</v>
          </cell>
          <cell r="E573" t="str">
            <v xml:space="preserve">	</v>
          </cell>
          <cell r="F573">
            <v>0.36</v>
          </cell>
        </row>
        <row r="574">
          <cell r="A574" t="str">
            <v>h1-txc-77702</v>
          </cell>
          <cell r="B574" t="str">
            <v>h1</v>
          </cell>
          <cell r="C574" t="str">
            <v>txc</v>
          </cell>
          <cell r="D574">
            <v>77702</v>
          </cell>
          <cell r="E574" t="str">
            <v xml:space="preserve">	</v>
          </cell>
          <cell r="F574">
            <v>3.29</v>
          </cell>
        </row>
        <row r="575">
          <cell r="A575" t="str">
            <v>h1-txc-77701</v>
          </cell>
          <cell r="B575" t="str">
            <v>h1</v>
          </cell>
          <cell r="C575" t="str">
            <v>txc</v>
          </cell>
          <cell r="D575">
            <v>77701</v>
          </cell>
          <cell r="E575" t="str">
            <v xml:space="preserve">	</v>
          </cell>
          <cell r="F575">
            <v>6.05</v>
          </cell>
        </row>
        <row r="576">
          <cell r="A576" t="str">
            <v>h1-txc-88811</v>
          </cell>
          <cell r="B576" t="str">
            <v>h1</v>
          </cell>
          <cell r="C576" t="str">
            <v>txc</v>
          </cell>
          <cell r="D576">
            <v>88811</v>
          </cell>
          <cell r="E576" t="str">
            <v xml:space="preserve">	</v>
          </cell>
          <cell r="F576">
            <v>0.28999999999999998</v>
          </cell>
        </row>
        <row r="577">
          <cell r="A577" t="str">
            <v>h1-txc-88801</v>
          </cell>
          <cell r="B577" t="str">
            <v>h1</v>
          </cell>
          <cell r="C577" t="str">
            <v>txc</v>
          </cell>
          <cell r="D577">
            <v>88801</v>
          </cell>
          <cell r="E577" t="str">
            <v xml:space="preserve">	</v>
          </cell>
          <cell r="F577">
            <v>0.14000000000000001</v>
          </cell>
        </row>
        <row r="578">
          <cell r="A578" t="str">
            <v>h1-txc-88802</v>
          </cell>
          <cell r="B578" t="str">
            <v>h1</v>
          </cell>
          <cell r="C578" t="str">
            <v>txc</v>
          </cell>
          <cell r="D578">
            <v>88802</v>
          </cell>
          <cell r="E578" t="str">
            <v xml:space="preserve">	</v>
          </cell>
          <cell r="F578">
            <v>0.09</v>
          </cell>
        </row>
        <row r="579">
          <cell r="A579" t="str">
            <v>h1-txc-88812</v>
          </cell>
          <cell r="B579" t="str">
            <v>h1</v>
          </cell>
          <cell r="C579" t="str">
            <v>txc</v>
          </cell>
          <cell r="D579">
            <v>88812</v>
          </cell>
          <cell r="E579" t="str">
            <v xml:space="preserve">	</v>
          </cell>
          <cell r="F579">
            <v>0.11</v>
          </cell>
        </row>
        <row r="580">
          <cell r="A580" t="str">
            <v>h1-txc-99901</v>
          </cell>
          <cell r="B580" t="str">
            <v>h1</v>
          </cell>
          <cell r="C580" t="str">
            <v>txc</v>
          </cell>
          <cell r="D580">
            <v>99901</v>
          </cell>
          <cell r="E580" t="str">
            <v xml:space="preserve">	</v>
          </cell>
          <cell r="F580">
            <v>0.46</v>
          </cell>
        </row>
        <row r="581">
          <cell r="A581" t="str">
            <v>h1-txc-99902</v>
          </cell>
          <cell r="B581" t="str">
            <v>h1</v>
          </cell>
          <cell r="C581" t="str">
            <v>txc</v>
          </cell>
          <cell r="D581">
            <v>99902</v>
          </cell>
          <cell r="E581" t="str">
            <v xml:space="preserve">	</v>
          </cell>
          <cell r="F581">
            <v>1.27</v>
          </cell>
        </row>
        <row r="582">
          <cell r="A582" t="str">
            <v>h1-txc-1421</v>
          </cell>
          <cell r="B582" t="str">
            <v>h1</v>
          </cell>
          <cell r="C582" t="str">
            <v>txc</v>
          </cell>
          <cell r="D582">
            <v>1421</v>
          </cell>
          <cell r="E582" t="str">
            <v xml:space="preserve">	</v>
          </cell>
          <cell r="F582">
            <v>2.12</v>
          </cell>
        </row>
        <row r="583">
          <cell r="A583" t="str">
            <v>h1-txc-801</v>
          </cell>
          <cell r="B583" t="str">
            <v>h1</v>
          </cell>
          <cell r="C583" t="str">
            <v>txc</v>
          </cell>
          <cell r="D583">
            <v>801</v>
          </cell>
          <cell r="E583" t="str">
            <v xml:space="preserve">	</v>
          </cell>
          <cell r="F583">
            <v>1.82</v>
          </cell>
        </row>
        <row r="584">
          <cell r="A584" t="str">
            <v>h1-txc-77711</v>
          </cell>
          <cell r="B584" t="str">
            <v>h1</v>
          </cell>
          <cell r="C584" t="str">
            <v>txc</v>
          </cell>
          <cell r="D584">
            <v>77711</v>
          </cell>
          <cell r="E584" t="str">
            <v xml:space="preserve">	</v>
          </cell>
          <cell r="F584">
            <v>0.36</v>
          </cell>
        </row>
        <row r="585">
          <cell r="A585" t="str">
            <v>h1-txc-312</v>
          </cell>
          <cell r="B585" t="str">
            <v>h1</v>
          </cell>
          <cell r="C585" t="str">
            <v>txc</v>
          </cell>
          <cell r="D585">
            <v>312</v>
          </cell>
          <cell r="E585" t="str">
            <v xml:space="preserve">	</v>
          </cell>
          <cell r="F585">
            <v>8.39</v>
          </cell>
        </row>
        <row r="586">
          <cell r="A586" t="str">
            <v>h1-txc-9402</v>
          </cell>
          <cell r="B586" t="str">
            <v>h1</v>
          </cell>
          <cell r="C586" t="str">
            <v>txc</v>
          </cell>
          <cell r="D586">
            <v>9402</v>
          </cell>
          <cell r="E586" t="str">
            <v xml:space="preserve">	</v>
          </cell>
          <cell r="F586">
            <v>0.39</v>
          </cell>
        </row>
        <row r="587">
          <cell r="A587" t="str">
            <v>h1-txc-8702</v>
          </cell>
          <cell r="B587" t="str">
            <v>h1</v>
          </cell>
          <cell r="C587" t="str">
            <v>txc</v>
          </cell>
          <cell r="D587">
            <v>8702</v>
          </cell>
          <cell r="E587" t="str">
            <v xml:space="preserve">	</v>
          </cell>
          <cell r="F587">
            <v>2.82</v>
          </cell>
        </row>
        <row r="588">
          <cell r="A588" t="str">
            <v>h1-txc-211</v>
          </cell>
          <cell r="B588" t="str">
            <v>h1</v>
          </cell>
          <cell r="C588" t="str">
            <v>txc</v>
          </cell>
          <cell r="D588">
            <v>211</v>
          </cell>
          <cell r="E588" t="str">
            <v xml:space="preserve">	</v>
          </cell>
          <cell r="F588">
            <v>0.96</v>
          </cell>
        </row>
        <row r="589">
          <cell r="A589" t="str">
            <v>h1-txc-212</v>
          </cell>
          <cell r="B589" t="str">
            <v>h1</v>
          </cell>
          <cell r="C589" t="str">
            <v>txc</v>
          </cell>
          <cell r="D589">
            <v>212</v>
          </cell>
          <cell r="E589" t="str">
            <v xml:space="preserve">	</v>
          </cell>
          <cell r="F589">
            <v>0.31</v>
          </cell>
        </row>
        <row r="590">
          <cell r="A590" t="str">
            <v>h1-txc-25021</v>
          </cell>
          <cell r="B590" t="str">
            <v>h1</v>
          </cell>
          <cell r="C590" t="str">
            <v>txc</v>
          </cell>
          <cell r="D590">
            <v>25021</v>
          </cell>
          <cell r="E590" t="str">
            <v xml:space="preserve">	</v>
          </cell>
          <cell r="F590">
            <v>0.67</v>
          </cell>
        </row>
        <row r="591">
          <cell r="A591" t="str">
            <v>h1-txc-25031</v>
          </cell>
          <cell r="B591" t="str">
            <v>h1</v>
          </cell>
          <cell r="C591" t="str">
            <v>txc</v>
          </cell>
          <cell r="D591">
            <v>25031</v>
          </cell>
          <cell r="E591" t="str">
            <v xml:space="preserve">	</v>
          </cell>
          <cell r="F591">
            <v>0.18</v>
          </cell>
        </row>
        <row r="592">
          <cell r="A592" t="str">
            <v>h1-txc-4932</v>
          </cell>
          <cell r="B592" t="str">
            <v>h1</v>
          </cell>
          <cell r="C592" t="str">
            <v>txc</v>
          </cell>
          <cell r="D592">
            <v>4932</v>
          </cell>
          <cell r="E592" t="str">
            <v xml:space="preserve">	</v>
          </cell>
          <cell r="F592">
            <v>0.82</v>
          </cell>
        </row>
        <row r="593">
          <cell r="A593" t="str">
            <v>h1-txc-7732</v>
          </cell>
          <cell r="B593" t="str">
            <v>h1</v>
          </cell>
          <cell r="C593" t="str">
            <v>txc</v>
          </cell>
          <cell r="D593">
            <v>7732</v>
          </cell>
          <cell r="E593" t="str">
            <v xml:space="preserve">	</v>
          </cell>
          <cell r="F593">
            <v>0.18</v>
          </cell>
        </row>
        <row r="594">
          <cell r="A594" t="str">
            <v>h1-txc-752</v>
          </cell>
          <cell r="B594" t="str">
            <v>h1</v>
          </cell>
          <cell r="C594" t="str">
            <v>txc</v>
          </cell>
          <cell r="D594">
            <v>752</v>
          </cell>
          <cell r="E594" t="str">
            <v xml:space="preserve">	</v>
          </cell>
          <cell r="F594">
            <v>0.17</v>
          </cell>
        </row>
        <row r="595">
          <cell r="A595" t="str">
            <v>h1-txc-12921</v>
          </cell>
          <cell r="B595" t="str">
            <v>h1</v>
          </cell>
          <cell r="C595" t="str">
            <v>txc</v>
          </cell>
          <cell r="D595">
            <v>12921</v>
          </cell>
          <cell r="E595" t="str">
            <v xml:space="preserve">	</v>
          </cell>
          <cell r="F595">
            <v>3.44</v>
          </cell>
        </row>
        <row r="596">
          <cell r="A596" t="str">
            <v>h1-txc-15521</v>
          </cell>
          <cell r="B596" t="str">
            <v>h1</v>
          </cell>
          <cell r="C596" t="str">
            <v>txc</v>
          </cell>
          <cell r="D596">
            <v>15521</v>
          </cell>
          <cell r="E596" t="str">
            <v xml:space="preserve">	</v>
          </cell>
          <cell r="F596">
            <v>6.97</v>
          </cell>
        </row>
        <row r="597">
          <cell r="A597" t="str">
            <v>h1-txc-4721</v>
          </cell>
          <cell r="B597" t="str">
            <v>h1</v>
          </cell>
          <cell r="C597" t="str">
            <v>txc</v>
          </cell>
          <cell r="D597">
            <v>4721</v>
          </cell>
          <cell r="E597" t="str">
            <v xml:space="preserve">	</v>
          </cell>
          <cell r="F597">
            <v>0.04</v>
          </cell>
        </row>
        <row r="598">
          <cell r="A598" t="str">
            <v>h1-txc-4731</v>
          </cell>
          <cell r="B598" t="str">
            <v>h1</v>
          </cell>
          <cell r="C598" t="str">
            <v>txc</v>
          </cell>
          <cell r="D598">
            <v>4731</v>
          </cell>
          <cell r="E598" t="str">
            <v xml:space="preserve">	</v>
          </cell>
          <cell r="F598">
            <v>1.26</v>
          </cell>
        </row>
        <row r="599">
          <cell r="A599" t="str">
            <v>h1-txc-4741</v>
          </cell>
          <cell r="B599" t="str">
            <v>h1</v>
          </cell>
          <cell r="C599" t="str">
            <v>txc</v>
          </cell>
          <cell r="D599">
            <v>4741</v>
          </cell>
          <cell r="E599" t="str">
            <v xml:space="preserve">	</v>
          </cell>
          <cell r="F599">
            <v>1.46</v>
          </cell>
        </row>
        <row r="600">
          <cell r="A600" t="str">
            <v>h1-txc-3321</v>
          </cell>
          <cell r="B600" t="str">
            <v>h1</v>
          </cell>
          <cell r="C600" t="str">
            <v>txc</v>
          </cell>
          <cell r="D600">
            <v>3321</v>
          </cell>
          <cell r="E600" t="str">
            <v xml:space="preserve">	</v>
          </cell>
          <cell r="F600">
            <v>1.17</v>
          </cell>
        </row>
        <row r="601">
          <cell r="A601" t="str">
            <v>h1-txc-3331</v>
          </cell>
          <cell r="B601" t="str">
            <v>h1</v>
          </cell>
          <cell r="C601" t="str">
            <v>txc</v>
          </cell>
          <cell r="D601">
            <v>3331</v>
          </cell>
          <cell r="E601" t="str">
            <v xml:space="preserve">	</v>
          </cell>
          <cell r="F601">
            <v>1.08</v>
          </cell>
        </row>
        <row r="602">
          <cell r="A602" t="str">
            <v>h2-txc-Horar</v>
          </cell>
          <cell r="B602" t="str">
            <v>h2</v>
          </cell>
          <cell r="C602" t="str">
            <v>txc</v>
          </cell>
          <cell r="D602" t="str">
            <v>Horar</v>
          </cell>
          <cell r="E602" t="str">
            <v>i</v>
          </cell>
          <cell r="F602" t="str">
            <v>o :2</v>
          </cell>
        </row>
        <row r="603">
          <cell r="A603" t="str">
            <v>h2-bus-MODO:</v>
          </cell>
          <cell r="B603" t="str">
            <v>h2</v>
          </cell>
          <cell r="C603" t="str">
            <v>bus</v>
          </cell>
          <cell r="D603" t="str">
            <v>MODO:</v>
          </cell>
          <cell r="F603" t="str">
            <v>bus</v>
          </cell>
        </row>
        <row r="604">
          <cell r="A604" t="str">
            <v>h2-bus-LINEA</v>
          </cell>
          <cell r="B604" t="str">
            <v>h2</v>
          </cell>
          <cell r="C604" t="str">
            <v>bus</v>
          </cell>
          <cell r="D604" t="str">
            <v>LINEA</v>
          </cell>
          <cell r="E604" t="str">
            <v xml:space="preserve">	</v>
          </cell>
          <cell r="F604" t="str">
            <v>FLOTA</v>
          </cell>
        </row>
        <row r="605">
          <cell r="A605" t="str">
            <v>h2-bus-1011</v>
          </cell>
          <cell r="B605" t="str">
            <v>h2</v>
          </cell>
          <cell r="C605" t="str">
            <v>bus</v>
          </cell>
          <cell r="D605">
            <v>1011</v>
          </cell>
          <cell r="E605" t="str">
            <v xml:space="preserve">	</v>
          </cell>
          <cell r="F605">
            <v>13.62</v>
          </cell>
        </row>
        <row r="606">
          <cell r="A606" t="str">
            <v>h2-bus-1012</v>
          </cell>
          <cell r="B606" t="str">
            <v>h2</v>
          </cell>
          <cell r="C606" t="str">
            <v>bus</v>
          </cell>
          <cell r="D606">
            <v>1012</v>
          </cell>
          <cell r="E606" t="str">
            <v xml:space="preserve">	</v>
          </cell>
          <cell r="F606">
            <v>7.38</v>
          </cell>
        </row>
        <row r="607">
          <cell r="A607" t="str">
            <v>h2-bus-1021</v>
          </cell>
          <cell r="B607" t="str">
            <v>h2</v>
          </cell>
          <cell r="C607" t="str">
            <v>bus</v>
          </cell>
          <cell r="D607">
            <v>1021</v>
          </cell>
          <cell r="E607" t="str">
            <v xml:space="preserve">	</v>
          </cell>
          <cell r="F607">
            <v>10.82</v>
          </cell>
        </row>
        <row r="608">
          <cell r="A608" t="str">
            <v>h2-bus-1022</v>
          </cell>
          <cell r="B608" t="str">
            <v>h2</v>
          </cell>
          <cell r="C608" t="str">
            <v>bus</v>
          </cell>
          <cell r="D608">
            <v>1022</v>
          </cell>
          <cell r="E608" t="str">
            <v xml:space="preserve">	</v>
          </cell>
          <cell r="F608">
            <v>6.4</v>
          </cell>
        </row>
        <row r="609">
          <cell r="A609" t="str">
            <v>h2-bus-1031</v>
          </cell>
          <cell r="B609" t="str">
            <v>h2</v>
          </cell>
          <cell r="C609" t="str">
            <v>bus</v>
          </cell>
          <cell r="D609">
            <v>1031</v>
          </cell>
          <cell r="E609" t="str">
            <v xml:space="preserve">	</v>
          </cell>
          <cell r="F609">
            <v>14.55</v>
          </cell>
        </row>
        <row r="610">
          <cell r="A610" t="str">
            <v>h2-bus-1032</v>
          </cell>
          <cell r="B610" t="str">
            <v>h2</v>
          </cell>
          <cell r="C610" t="str">
            <v>bus</v>
          </cell>
          <cell r="D610">
            <v>1032</v>
          </cell>
          <cell r="E610" t="str">
            <v xml:space="preserve">	</v>
          </cell>
          <cell r="F610">
            <v>5.41</v>
          </cell>
        </row>
        <row r="611">
          <cell r="A611" t="str">
            <v>h2-bus-1041</v>
          </cell>
          <cell r="B611" t="str">
            <v>h2</v>
          </cell>
          <cell r="C611" t="str">
            <v>bus</v>
          </cell>
          <cell r="D611">
            <v>1041</v>
          </cell>
          <cell r="E611" t="str">
            <v xml:space="preserve">	</v>
          </cell>
          <cell r="F611">
            <v>5.6</v>
          </cell>
        </row>
        <row r="612">
          <cell r="A612" t="str">
            <v>h2-bus-1042</v>
          </cell>
          <cell r="B612" t="str">
            <v>h2</v>
          </cell>
          <cell r="C612" t="str">
            <v>bus</v>
          </cell>
          <cell r="D612">
            <v>1042</v>
          </cell>
          <cell r="E612" t="str">
            <v xml:space="preserve">	</v>
          </cell>
          <cell r="F612">
            <v>4.42</v>
          </cell>
        </row>
        <row r="613">
          <cell r="A613" t="str">
            <v>h2-bus-1051</v>
          </cell>
          <cell r="B613" t="str">
            <v>h2</v>
          </cell>
          <cell r="C613" t="str">
            <v>bus</v>
          </cell>
          <cell r="D613">
            <v>1051</v>
          </cell>
          <cell r="E613" t="str">
            <v xml:space="preserve">	</v>
          </cell>
          <cell r="F613">
            <v>10.44</v>
          </cell>
        </row>
        <row r="614">
          <cell r="A614" t="str">
            <v>h2-bus-1052</v>
          </cell>
          <cell r="B614" t="str">
            <v>h2</v>
          </cell>
          <cell r="C614" t="str">
            <v>bus</v>
          </cell>
          <cell r="D614">
            <v>1052</v>
          </cell>
          <cell r="E614" t="str">
            <v xml:space="preserve">	</v>
          </cell>
          <cell r="F614">
            <v>6.24</v>
          </cell>
        </row>
        <row r="615">
          <cell r="A615" t="str">
            <v>h2-bus-1061</v>
          </cell>
          <cell r="B615" t="str">
            <v>h2</v>
          </cell>
          <cell r="C615" t="str">
            <v>bus</v>
          </cell>
          <cell r="D615">
            <v>1061</v>
          </cell>
          <cell r="E615" t="str">
            <v xml:space="preserve">	</v>
          </cell>
          <cell r="F615">
            <v>10.53</v>
          </cell>
        </row>
        <row r="616">
          <cell r="A616" t="str">
            <v>h2-bus-1062</v>
          </cell>
          <cell r="B616" t="str">
            <v>h2</v>
          </cell>
          <cell r="C616" t="str">
            <v>bus</v>
          </cell>
          <cell r="D616">
            <v>1062</v>
          </cell>
          <cell r="E616" t="str">
            <v xml:space="preserve">	</v>
          </cell>
          <cell r="F616">
            <v>6.56</v>
          </cell>
        </row>
        <row r="617">
          <cell r="A617" t="str">
            <v>h2-bus-1071</v>
          </cell>
          <cell r="B617" t="str">
            <v>h2</v>
          </cell>
          <cell r="C617" t="str">
            <v>bus</v>
          </cell>
          <cell r="D617">
            <v>1071</v>
          </cell>
          <cell r="E617" t="str">
            <v xml:space="preserve">	</v>
          </cell>
          <cell r="F617">
            <v>22.39</v>
          </cell>
        </row>
        <row r="618">
          <cell r="A618" t="str">
            <v>h2-bus-1072</v>
          </cell>
          <cell r="B618" t="str">
            <v>h2</v>
          </cell>
          <cell r="C618" t="str">
            <v>bus</v>
          </cell>
          <cell r="D618">
            <v>1072</v>
          </cell>
          <cell r="E618" t="str">
            <v xml:space="preserve">	</v>
          </cell>
          <cell r="F618">
            <v>6.33</v>
          </cell>
        </row>
        <row r="619">
          <cell r="A619" t="str">
            <v>h2-bus-1081</v>
          </cell>
          <cell r="B619" t="str">
            <v>h2</v>
          </cell>
          <cell r="C619" t="str">
            <v>bus</v>
          </cell>
          <cell r="D619">
            <v>1081</v>
          </cell>
          <cell r="E619" t="str">
            <v xml:space="preserve">	</v>
          </cell>
          <cell r="F619">
            <v>5.58</v>
          </cell>
        </row>
        <row r="620">
          <cell r="A620" t="str">
            <v>h2-bus-1082</v>
          </cell>
          <cell r="B620" t="str">
            <v>h2</v>
          </cell>
          <cell r="C620" t="str">
            <v>bus</v>
          </cell>
          <cell r="D620">
            <v>1082</v>
          </cell>
          <cell r="E620" t="str">
            <v xml:space="preserve">	</v>
          </cell>
          <cell r="F620">
            <v>4.37</v>
          </cell>
        </row>
        <row r="621">
          <cell r="A621" t="str">
            <v>h2-bus-1091</v>
          </cell>
          <cell r="B621" t="str">
            <v>h2</v>
          </cell>
          <cell r="C621" t="str">
            <v>bus</v>
          </cell>
          <cell r="D621">
            <v>1091</v>
          </cell>
          <cell r="E621" t="str">
            <v xml:space="preserve">	</v>
          </cell>
          <cell r="F621">
            <v>11.51</v>
          </cell>
        </row>
        <row r="622">
          <cell r="A622" t="str">
            <v>h2-bus-1092</v>
          </cell>
          <cell r="B622" t="str">
            <v>h2</v>
          </cell>
          <cell r="C622" t="str">
            <v>bus</v>
          </cell>
          <cell r="D622">
            <v>1092</v>
          </cell>
          <cell r="E622" t="str">
            <v xml:space="preserve">	</v>
          </cell>
          <cell r="F622">
            <v>6.14</v>
          </cell>
        </row>
        <row r="623">
          <cell r="A623" t="str">
            <v>h2-bus-1101</v>
          </cell>
          <cell r="B623" t="str">
            <v>h2</v>
          </cell>
          <cell r="C623" t="str">
            <v>bus</v>
          </cell>
          <cell r="D623">
            <v>1101</v>
          </cell>
          <cell r="E623" t="str">
            <v xml:space="preserve">	</v>
          </cell>
          <cell r="F623">
            <v>4.83</v>
          </cell>
        </row>
        <row r="624">
          <cell r="A624" t="str">
            <v>h2-bus-1102</v>
          </cell>
          <cell r="B624" t="str">
            <v>h2</v>
          </cell>
          <cell r="C624" t="str">
            <v>bus</v>
          </cell>
          <cell r="D624">
            <v>1102</v>
          </cell>
          <cell r="E624" t="str">
            <v xml:space="preserve">	</v>
          </cell>
          <cell r="F624">
            <v>3.21</v>
          </cell>
        </row>
        <row r="625">
          <cell r="A625" t="str">
            <v>h2-bus-1111</v>
          </cell>
          <cell r="B625" t="str">
            <v>h2</v>
          </cell>
          <cell r="C625" t="str">
            <v>bus</v>
          </cell>
          <cell r="D625">
            <v>1111</v>
          </cell>
          <cell r="E625" t="str">
            <v xml:space="preserve">	</v>
          </cell>
          <cell r="F625">
            <v>5.45</v>
          </cell>
        </row>
        <row r="626">
          <cell r="A626" t="str">
            <v>h2-bus-1112</v>
          </cell>
          <cell r="B626" t="str">
            <v>h2</v>
          </cell>
          <cell r="C626" t="str">
            <v>bus</v>
          </cell>
          <cell r="D626">
            <v>1112</v>
          </cell>
          <cell r="E626" t="str">
            <v xml:space="preserve">	</v>
          </cell>
          <cell r="F626">
            <v>5.51</v>
          </cell>
        </row>
        <row r="627">
          <cell r="A627" t="str">
            <v>h2-bus-1121</v>
          </cell>
          <cell r="B627" t="str">
            <v>h2</v>
          </cell>
          <cell r="C627" t="str">
            <v>bus</v>
          </cell>
          <cell r="D627">
            <v>1121</v>
          </cell>
          <cell r="E627" t="str">
            <v xml:space="preserve">	</v>
          </cell>
          <cell r="F627">
            <v>11.33</v>
          </cell>
        </row>
        <row r="628">
          <cell r="A628" t="str">
            <v>h2-bus-1122</v>
          </cell>
          <cell r="B628" t="str">
            <v>h2</v>
          </cell>
          <cell r="C628" t="str">
            <v>bus</v>
          </cell>
          <cell r="D628">
            <v>1122</v>
          </cell>
          <cell r="E628" t="str">
            <v xml:space="preserve">	</v>
          </cell>
          <cell r="F628">
            <v>5.85</v>
          </cell>
        </row>
        <row r="629">
          <cell r="A629" t="str">
            <v>h2-bus-1131</v>
          </cell>
          <cell r="B629" t="str">
            <v>h2</v>
          </cell>
          <cell r="C629" t="str">
            <v>bus</v>
          </cell>
          <cell r="D629">
            <v>1131</v>
          </cell>
          <cell r="E629" t="str">
            <v xml:space="preserve">	</v>
          </cell>
          <cell r="F629">
            <v>11.16</v>
          </cell>
        </row>
        <row r="630">
          <cell r="A630" t="str">
            <v>h2-bus-1132</v>
          </cell>
          <cell r="B630" t="str">
            <v>h2</v>
          </cell>
          <cell r="C630" t="str">
            <v>bus</v>
          </cell>
          <cell r="D630">
            <v>1132</v>
          </cell>
          <cell r="E630" t="str">
            <v xml:space="preserve">	</v>
          </cell>
          <cell r="F630">
            <v>6.69</v>
          </cell>
        </row>
        <row r="631">
          <cell r="A631" t="str">
            <v>h2-bus-1141</v>
          </cell>
          <cell r="B631" t="str">
            <v>h2</v>
          </cell>
          <cell r="C631" t="str">
            <v>bus</v>
          </cell>
          <cell r="D631">
            <v>1141</v>
          </cell>
          <cell r="E631" t="str">
            <v xml:space="preserve">	</v>
          </cell>
          <cell r="F631">
            <v>9.34</v>
          </cell>
        </row>
        <row r="632">
          <cell r="A632" t="str">
            <v>h2-bus-1142</v>
          </cell>
          <cell r="B632" t="str">
            <v>h2</v>
          </cell>
          <cell r="C632" t="str">
            <v>bus</v>
          </cell>
          <cell r="D632">
            <v>1142</v>
          </cell>
          <cell r="E632" t="str">
            <v xml:space="preserve">	</v>
          </cell>
          <cell r="F632">
            <v>6.14</v>
          </cell>
        </row>
        <row r="633">
          <cell r="A633" t="str">
            <v>h2-bus-1151</v>
          </cell>
          <cell r="B633" t="str">
            <v>h2</v>
          </cell>
          <cell r="C633" t="str">
            <v>bus</v>
          </cell>
          <cell r="D633">
            <v>1151</v>
          </cell>
          <cell r="E633" t="str">
            <v xml:space="preserve">	</v>
          </cell>
          <cell r="F633">
            <v>6.79</v>
          </cell>
        </row>
        <row r="634">
          <cell r="A634" t="str">
            <v>h2-bus-1152</v>
          </cell>
          <cell r="B634" t="str">
            <v>h2</v>
          </cell>
          <cell r="C634" t="str">
            <v>bus</v>
          </cell>
          <cell r="D634">
            <v>1152</v>
          </cell>
          <cell r="E634" t="str">
            <v xml:space="preserve">	</v>
          </cell>
          <cell r="F634">
            <v>4.38</v>
          </cell>
        </row>
        <row r="635">
          <cell r="A635" t="str">
            <v>h2-bus-1161</v>
          </cell>
          <cell r="B635" t="str">
            <v>h2</v>
          </cell>
          <cell r="C635" t="str">
            <v>bus</v>
          </cell>
          <cell r="D635">
            <v>1161</v>
          </cell>
          <cell r="E635" t="str">
            <v xml:space="preserve">	</v>
          </cell>
          <cell r="F635">
            <v>3.13</v>
          </cell>
        </row>
        <row r="636">
          <cell r="A636" t="str">
            <v>h2-bus-1162</v>
          </cell>
          <cell r="B636" t="str">
            <v>h2</v>
          </cell>
          <cell r="C636" t="str">
            <v>bus</v>
          </cell>
          <cell r="D636">
            <v>1162</v>
          </cell>
          <cell r="E636" t="str">
            <v xml:space="preserve">	</v>
          </cell>
          <cell r="F636">
            <v>4.72</v>
          </cell>
        </row>
        <row r="637">
          <cell r="A637" t="str">
            <v>h2-bus-1171</v>
          </cell>
          <cell r="B637" t="str">
            <v>h2</v>
          </cell>
          <cell r="C637" t="str">
            <v>bus</v>
          </cell>
          <cell r="D637">
            <v>1171</v>
          </cell>
          <cell r="E637" t="str">
            <v xml:space="preserve">	</v>
          </cell>
          <cell r="F637">
            <v>0.46</v>
          </cell>
        </row>
        <row r="638">
          <cell r="A638" t="str">
            <v>h2-bus-1172</v>
          </cell>
          <cell r="B638" t="str">
            <v>h2</v>
          </cell>
          <cell r="C638" t="str">
            <v>bus</v>
          </cell>
          <cell r="D638">
            <v>1172</v>
          </cell>
          <cell r="E638" t="str">
            <v xml:space="preserve">	</v>
          </cell>
          <cell r="F638">
            <v>0.51</v>
          </cell>
        </row>
        <row r="639">
          <cell r="A639" t="str">
            <v>h2-bus-1191</v>
          </cell>
          <cell r="B639" t="str">
            <v>h2</v>
          </cell>
          <cell r="C639" t="str">
            <v>bus</v>
          </cell>
          <cell r="D639">
            <v>1191</v>
          </cell>
          <cell r="E639" t="str">
            <v xml:space="preserve">	</v>
          </cell>
          <cell r="F639">
            <v>3.68</v>
          </cell>
        </row>
        <row r="640">
          <cell r="A640" t="str">
            <v>h2-bus-1192</v>
          </cell>
          <cell r="B640" t="str">
            <v>h2</v>
          </cell>
          <cell r="C640" t="str">
            <v>bus</v>
          </cell>
          <cell r="D640">
            <v>1192</v>
          </cell>
          <cell r="E640" t="str">
            <v xml:space="preserve">	</v>
          </cell>
          <cell r="F640">
            <v>3.41</v>
          </cell>
        </row>
        <row r="641">
          <cell r="A641" t="str">
            <v>h2-bus-1201</v>
          </cell>
          <cell r="B641" t="str">
            <v>h2</v>
          </cell>
          <cell r="C641" t="str">
            <v>bus</v>
          </cell>
          <cell r="D641">
            <v>1201</v>
          </cell>
          <cell r="E641" t="str">
            <v xml:space="preserve">	</v>
          </cell>
          <cell r="F641">
            <v>0.68</v>
          </cell>
        </row>
        <row r="642">
          <cell r="A642" t="str">
            <v>h2-bus-1202</v>
          </cell>
          <cell r="B642" t="str">
            <v>h2</v>
          </cell>
          <cell r="C642" t="str">
            <v>bus</v>
          </cell>
          <cell r="D642">
            <v>1202</v>
          </cell>
          <cell r="E642" t="str">
            <v xml:space="preserve">	</v>
          </cell>
          <cell r="F642">
            <v>0.27</v>
          </cell>
        </row>
        <row r="643">
          <cell r="A643" t="str">
            <v>h2-bus-1211</v>
          </cell>
          <cell r="B643" t="str">
            <v>h2</v>
          </cell>
          <cell r="C643" t="str">
            <v>bus</v>
          </cell>
          <cell r="D643">
            <v>1211</v>
          </cell>
          <cell r="E643" t="str">
            <v xml:space="preserve">	</v>
          </cell>
          <cell r="F643">
            <v>1.55</v>
          </cell>
        </row>
        <row r="644">
          <cell r="A644" t="str">
            <v>h2-bus-1212</v>
          </cell>
          <cell r="B644" t="str">
            <v>h2</v>
          </cell>
          <cell r="C644" t="str">
            <v>bus</v>
          </cell>
          <cell r="D644">
            <v>1212</v>
          </cell>
          <cell r="E644" t="str">
            <v xml:space="preserve">	</v>
          </cell>
          <cell r="F644">
            <v>0.91</v>
          </cell>
        </row>
        <row r="645">
          <cell r="A645" t="str">
            <v>h2-bus-1221</v>
          </cell>
          <cell r="B645" t="str">
            <v>h2</v>
          </cell>
          <cell r="C645" t="str">
            <v>bus</v>
          </cell>
          <cell r="D645">
            <v>1221</v>
          </cell>
          <cell r="E645" t="str">
            <v xml:space="preserve">	</v>
          </cell>
          <cell r="F645">
            <v>5.7</v>
          </cell>
        </row>
        <row r="646">
          <cell r="A646" t="str">
            <v>h2-bus-1222</v>
          </cell>
          <cell r="B646" t="str">
            <v>h2</v>
          </cell>
          <cell r="C646" t="str">
            <v>bus</v>
          </cell>
          <cell r="D646">
            <v>1222</v>
          </cell>
          <cell r="E646" t="str">
            <v xml:space="preserve">	</v>
          </cell>
          <cell r="F646">
            <v>5.56</v>
          </cell>
        </row>
        <row r="647">
          <cell r="A647" t="str">
            <v>h2-bus-1251</v>
          </cell>
          <cell r="B647" t="str">
            <v>h2</v>
          </cell>
          <cell r="C647" t="str">
            <v>bus</v>
          </cell>
          <cell r="D647">
            <v>1251</v>
          </cell>
          <cell r="E647" t="str">
            <v xml:space="preserve">	</v>
          </cell>
          <cell r="F647">
            <v>4.0999999999999996</v>
          </cell>
        </row>
        <row r="648">
          <cell r="A648" t="str">
            <v>h2-bus-1252</v>
          </cell>
          <cell r="B648" t="str">
            <v>h2</v>
          </cell>
          <cell r="C648" t="str">
            <v>bus</v>
          </cell>
          <cell r="D648">
            <v>1252</v>
          </cell>
          <cell r="E648" t="str">
            <v xml:space="preserve">	</v>
          </cell>
          <cell r="F648">
            <v>3.63</v>
          </cell>
        </row>
        <row r="649">
          <cell r="A649" t="str">
            <v>h2-bus-1261</v>
          </cell>
          <cell r="B649" t="str">
            <v>h2</v>
          </cell>
          <cell r="C649" t="str">
            <v>bus</v>
          </cell>
          <cell r="D649">
            <v>1261</v>
          </cell>
          <cell r="E649" t="str">
            <v xml:space="preserve">	</v>
          </cell>
          <cell r="F649">
            <v>0.47</v>
          </cell>
        </row>
        <row r="650">
          <cell r="A650" t="str">
            <v>h2-bus-1262</v>
          </cell>
          <cell r="B650" t="str">
            <v>h2</v>
          </cell>
          <cell r="C650" t="str">
            <v>bus</v>
          </cell>
          <cell r="D650">
            <v>1262</v>
          </cell>
          <cell r="E650" t="str">
            <v xml:space="preserve">	</v>
          </cell>
          <cell r="F650">
            <v>0.59</v>
          </cell>
        </row>
        <row r="651">
          <cell r="A651" t="str">
            <v>h2-bus-2011</v>
          </cell>
          <cell r="B651" t="str">
            <v>h2</v>
          </cell>
          <cell r="C651" t="str">
            <v>bus</v>
          </cell>
          <cell r="D651">
            <v>2011</v>
          </cell>
          <cell r="E651" t="str">
            <v xml:space="preserve">	</v>
          </cell>
          <cell r="F651">
            <v>14.98</v>
          </cell>
        </row>
        <row r="652">
          <cell r="A652" t="str">
            <v>h2-bus-2012</v>
          </cell>
          <cell r="B652" t="str">
            <v>h2</v>
          </cell>
          <cell r="C652" t="str">
            <v>bus</v>
          </cell>
          <cell r="D652">
            <v>2012</v>
          </cell>
          <cell r="E652" t="str">
            <v xml:space="preserve">	</v>
          </cell>
          <cell r="F652">
            <v>9.26</v>
          </cell>
        </row>
        <row r="653">
          <cell r="A653" t="str">
            <v>h2-bus-2021</v>
          </cell>
          <cell r="B653" t="str">
            <v>h2</v>
          </cell>
          <cell r="C653" t="str">
            <v>bus</v>
          </cell>
          <cell r="D653">
            <v>2021</v>
          </cell>
          <cell r="E653" t="str">
            <v xml:space="preserve">	</v>
          </cell>
          <cell r="F653">
            <v>6</v>
          </cell>
        </row>
        <row r="654">
          <cell r="A654" t="str">
            <v>h2-bus-2022</v>
          </cell>
          <cell r="B654" t="str">
            <v>h2</v>
          </cell>
          <cell r="C654" t="str">
            <v>bus</v>
          </cell>
          <cell r="D654">
            <v>2022</v>
          </cell>
          <cell r="E654" t="str">
            <v xml:space="preserve">	</v>
          </cell>
          <cell r="F654">
            <v>4.5599999999999996</v>
          </cell>
        </row>
        <row r="655">
          <cell r="A655" t="str">
            <v>h2-bus-2031</v>
          </cell>
          <cell r="B655" t="str">
            <v>h2</v>
          </cell>
          <cell r="C655" t="str">
            <v>bus</v>
          </cell>
          <cell r="D655">
            <v>2031</v>
          </cell>
          <cell r="E655" t="str">
            <v xml:space="preserve">	</v>
          </cell>
          <cell r="F655">
            <v>7.77</v>
          </cell>
        </row>
        <row r="656">
          <cell r="A656" t="str">
            <v>h2-bus-2032</v>
          </cell>
          <cell r="B656" t="str">
            <v>h2</v>
          </cell>
          <cell r="C656" t="str">
            <v>bus</v>
          </cell>
          <cell r="D656">
            <v>2032</v>
          </cell>
          <cell r="E656" t="str">
            <v xml:space="preserve">	</v>
          </cell>
          <cell r="F656">
            <v>5.92</v>
          </cell>
        </row>
        <row r="657">
          <cell r="A657" t="str">
            <v>h2-bus-2041</v>
          </cell>
          <cell r="B657" t="str">
            <v>h2</v>
          </cell>
          <cell r="C657" t="str">
            <v>bus</v>
          </cell>
          <cell r="D657">
            <v>2041</v>
          </cell>
          <cell r="E657" t="str">
            <v xml:space="preserve">	</v>
          </cell>
          <cell r="F657">
            <v>15.79</v>
          </cell>
        </row>
        <row r="658">
          <cell r="A658" t="str">
            <v>h2-bus-2042</v>
          </cell>
          <cell r="B658" t="str">
            <v>h2</v>
          </cell>
          <cell r="C658" t="str">
            <v>bus</v>
          </cell>
          <cell r="D658">
            <v>2042</v>
          </cell>
          <cell r="E658" t="str">
            <v xml:space="preserve">	</v>
          </cell>
          <cell r="F658">
            <v>5.67</v>
          </cell>
        </row>
        <row r="659">
          <cell r="A659" t="str">
            <v>h2-bus-2051</v>
          </cell>
          <cell r="B659" t="str">
            <v>h2</v>
          </cell>
          <cell r="C659" t="str">
            <v>bus</v>
          </cell>
          <cell r="D659">
            <v>2051</v>
          </cell>
          <cell r="E659" t="str">
            <v xml:space="preserve">	</v>
          </cell>
          <cell r="F659">
            <v>9.74</v>
          </cell>
        </row>
        <row r="660">
          <cell r="A660" t="str">
            <v>h2-bus-2052</v>
          </cell>
          <cell r="B660" t="str">
            <v>h2</v>
          </cell>
          <cell r="C660" t="str">
            <v>bus</v>
          </cell>
          <cell r="D660">
            <v>2052</v>
          </cell>
          <cell r="E660" t="str">
            <v xml:space="preserve">	</v>
          </cell>
          <cell r="F660">
            <v>6.81</v>
          </cell>
        </row>
        <row r="661">
          <cell r="A661" t="str">
            <v>h2-bus-2071</v>
          </cell>
          <cell r="B661" t="str">
            <v>h2</v>
          </cell>
          <cell r="C661" t="str">
            <v>bus</v>
          </cell>
          <cell r="D661">
            <v>2071</v>
          </cell>
          <cell r="E661" t="str">
            <v xml:space="preserve">	</v>
          </cell>
          <cell r="F661">
            <v>5.08</v>
          </cell>
        </row>
        <row r="662">
          <cell r="A662" t="str">
            <v>h2-bus-2072</v>
          </cell>
          <cell r="B662" t="str">
            <v>h2</v>
          </cell>
          <cell r="C662" t="str">
            <v>bus</v>
          </cell>
          <cell r="D662">
            <v>2072</v>
          </cell>
          <cell r="E662" t="str">
            <v xml:space="preserve">	</v>
          </cell>
          <cell r="F662">
            <v>2.46</v>
          </cell>
        </row>
        <row r="663">
          <cell r="A663" t="str">
            <v>h2-bus-2081</v>
          </cell>
          <cell r="B663" t="str">
            <v>h2</v>
          </cell>
          <cell r="C663" t="str">
            <v>bus</v>
          </cell>
          <cell r="D663">
            <v>2081</v>
          </cell>
          <cell r="E663" t="str">
            <v xml:space="preserve">	</v>
          </cell>
          <cell r="F663">
            <v>1.23</v>
          </cell>
        </row>
        <row r="664">
          <cell r="A664" t="str">
            <v>h2-bus-2082</v>
          </cell>
          <cell r="B664" t="str">
            <v>h2</v>
          </cell>
          <cell r="C664" t="str">
            <v>bus</v>
          </cell>
          <cell r="D664">
            <v>2082</v>
          </cell>
          <cell r="E664" t="str">
            <v xml:space="preserve">	</v>
          </cell>
          <cell r="F664">
            <v>1.27</v>
          </cell>
        </row>
        <row r="665">
          <cell r="A665" t="str">
            <v>h2-bus-2091</v>
          </cell>
          <cell r="B665" t="str">
            <v>h2</v>
          </cell>
          <cell r="C665" t="str">
            <v>bus</v>
          </cell>
          <cell r="D665">
            <v>2091</v>
          </cell>
          <cell r="E665" t="str">
            <v xml:space="preserve">	</v>
          </cell>
          <cell r="F665">
            <v>11.46</v>
          </cell>
        </row>
        <row r="666">
          <cell r="A666" t="str">
            <v>h2-bus-2092</v>
          </cell>
          <cell r="B666" t="str">
            <v>h2</v>
          </cell>
          <cell r="C666" t="str">
            <v>bus</v>
          </cell>
          <cell r="D666">
            <v>2092</v>
          </cell>
          <cell r="E666" t="str">
            <v xml:space="preserve">	</v>
          </cell>
          <cell r="F666">
            <v>7</v>
          </cell>
        </row>
        <row r="667">
          <cell r="A667" t="str">
            <v>h2-bus-2101</v>
          </cell>
          <cell r="B667" t="str">
            <v>h2</v>
          </cell>
          <cell r="C667" t="str">
            <v>bus</v>
          </cell>
          <cell r="D667">
            <v>2101</v>
          </cell>
          <cell r="E667" t="str">
            <v xml:space="preserve">	</v>
          </cell>
          <cell r="F667">
            <v>10.81</v>
          </cell>
        </row>
        <row r="668">
          <cell r="A668" t="str">
            <v>h2-bus-2102</v>
          </cell>
          <cell r="B668" t="str">
            <v>h2</v>
          </cell>
          <cell r="C668" t="str">
            <v>bus</v>
          </cell>
          <cell r="D668">
            <v>2102</v>
          </cell>
          <cell r="E668" t="str">
            <v xml:space="preserve">	</v>
          </cell>
          <cell r="F668">
            <v>9.1999999999999993</v>
          </cell>
        </row>
        <row r="669">
          <cell r="A669" t="str">
            <v>h2-bus-2111</v>
          </cell>
          <cell r="B669" t="str">
            <v>h2</v>
          </cell>
          <cell r="C669" t="str">
            <v>bus</v>
          </cell>
          <cell r="D669">
            <v>2111</v>
          </cell>
          <cell r="E669" t="str">
            <v xml:space="preserve">	</v>
          </cell>
          <cell r="F669">
            <v>5.34</v>
          </cell>
        </row>
        <row r="670">
          <cell r="A670" t="str">
            <v>h2-bus-2112</v>
          </cell>
          <cell r="B670" t="str">
            <v>h2</v>
          </cell>
          <cell r="C670" t="str">
            <v>bus</v>
          </cell>
          <cell r="D670">
            <v>2112</v>
          </cell>
          <cell r="E670" t="str">
            <v xml:space="preserve">	</v>
          </cell>
          <cell r="F670">
            <v>5.28</v>
          </cell>
        </row>
        <row r="671">
          <cell r="A671" t="str">
            <v>h2-bus-2121</v>
          </cell>
          <cell r="B671" t="str">
            <v>h2</v>
          </cell>
          <cell r="C671" t="str">
            <v>bus</v>
          </cell>
          <cell r="D671">
            <v>2121</v>
          </cell>
          <cell r="E671" t="str">
            <v xml:space="preserve">	</v>
          </cell>
          <cell r="F671">
            <v>10.3</v>
          </cell>
        </row>
        <row r="672">
          <cell r="A672" t="str">
            <v>h2-bus-2122</v>
          </cell>
          <cell r="B672" t="str">
            <v>h2</v>
          </cell>
          <cell r="C672" t="str">
            <v>bus</v>
          </cell>
          <cell r="D672">
            <v>2122</v>
          </cell>
          <cell r="E672" t="str">
            <v xml:space="preserve">	</v>
          </cell>
          <cell r="F672">
            <v>7.36</v>
          </cell>
        </row>
        <row r="673">
          <cell r="A673" t="str">
            <v>h2-bus-2131</v>
          </cell>
          <cell r="B673" t="str">
            <v>h2</v>
          </cell>
          <cell r="C673" t="str">
            <v>bus</v>
          </cell>
          <cell r="D673">
            <v>2131</v>
          </cell>
          <cell r="E673" t="str">
            <v xml:space="preserve">	</v>
          </cell>
          <cell r="F673">
            <v>11.06</v>
          </cell>
        </row>
        <row r="674">
          <cell r="A674" t="str">
            <v>h2-bus-2132</v>
          </cell>
          <cell r="B674" t="str">
            <v>h2</v>
          </cell>
          <cell r="C674" t="str">
            <v>bus</v>
          </cell>
          <cell r="D674">
            <v>2132</v>
          </cell>
          <cell r="E674" t="str">
            <v xml:space="preserve">	</v>
          </cell>
          <cell r="F674">
            <v>7.58</v>
          </cell>
        </row>
        <row r="675">
          <cell r="A675" t="str">
            <v>h2-bus-2141</v>
          </cell>
          <cell r="B675" t="str">
            <v>h2</v>
          </cell>
          <cell r="C675" t="str">
            <v>bus</v>
          </cell>
          <cell r="D675">
            <v>2141</v>
          </cell>
          <cell r="E675" t="str">
            <v xml:space="preserve">	</v>
          </cell>
          <cell r="F675">
            <v>17.89</v>
          </cell>
        </row>
        <row r="676">
          <cell r="A676" t="str">
            <v>h2-bus-2142</v>
          </cell>
          <cell r="B676" t="str">
            <v>h2</v>
          </cell>
          <cell r="C676" t="str">
            <v>bus</v>
          </cell>
          <cell r="D676">
            <v>2142</v>
          </cell>
          <cell r="E676" t="str">
            <v xml:space="preserve">	</v>
          </cell>
          <cell r="F676">
            <v>11.69</v>
          </cell>
        </row>
        <row r="677">
          <cell r="A677" t="str">
            <v>h2-bus-2151</v>
          </cell>
          <cell r="B677" t="str">
            <v>h2</v>
          </cell>
          <cell r="C677" t="str">
            <v>bus</v>
          </cell>
          <cell r="D677">
            <v>2151</v>
          </cell>
          <cell r="E677" t="str">
            <v xml:space="preserve">	</v>
          </cell>
          <cell r="F677">
            <v>5.81</v>
          </cell>
        </row>
        <row r="678">
          <cell r="A678" t="str">
            <v>h2-bus-2152</v>
          </cell>
          <cell r="B678" t="str">
            <v>h2</v>
          </cell>
          <cell r="C678" t="str">
            <v>bus</v>
          </cell>
          <cell r="D678">
            <v>2152</v>
          </cell>
          <cell r="E678" t="str">
            <v xml:space="preserve">	</v>
          </cell>
          <cell r="F678">
            <v>1</v>
          </cell>
        </row>
        <row r="679">
          <cell r="A679" t="str">
            <v>h2-bus-2161</v>
          </cell>
          <cell r="B679" t="str">
            <v>h2</v>
          </cell>
          <cell r="C679" t="str">
            <v>bus</v>
          </cell>
          <cell r="D679">
            <v>2161</v>
          </cell>
          <cell r="E679" t="str">
            <v xml:space="preserve">	</v>
          </cell>
          <cell r="F679">
            <v>6.12</v>
          </cell>
        </row>
        <row r="680">
          <cell r="A680" t="str">
            <v>h2-bus-2162</v>
          </cell>
          <cell r="B680" t="str">
            <v>h2</v>
          </cell>
          <cell r="C680" t="str">
            <v>bus</v>
          </cell>
          <cell r="D680">
            <v>2162</v>
          </cell>
          <cell r="E680" t="str">
            <v xml:space="preserve">	</v>
          </cell>
          <cell r="F680">
            <v>8.52</v>
          </cell>
        </row>
        <row r="681">
          <cell r="A681" t="str">
            <v>h2-bus-3011</v>
          </cell>
          <cell r="B681" t="str">
            <v>h2</v>
          </cell>
          <cell r="C681" t="str">
            <v>bus</v>
          </cell>
          <cell r="D681">
            <v>3011</v>
          </cell>
          <cell r="E681" t="str">
            <v xml:space="preserve">	</v>
          </cell>
          <cell r="F681">
            <v>7.42</v>
          </cell>
        </row>
        <row r="682">
          <cell r="A682" t="str">
            <v>h2-bus-3012</v>
          </cell>
          <cell r="B682" t="str">
            <v>h2</v>
          </cell>
          <cell r="C682" t="str">
            <v>bus</v>
          </cell>
          <cell r="D682">
            <v>3012</v>
          </cell>
          <cell r="E682" t="str">
            <v xml:space="preserve">	</v>
          </cell>
          <cell r="F682">
            <v>7.83</v>
          </cell>
        </row>
        <row r="683">
          <cell r="A683" t="str">
            <v>h2-bus-3021</v>
          </cell>
          <cell r="B683" t="str">
            <v>h2</v>
          </cell>
          <cell r="C683" t="str">
            <v>bus</v>
          </cell>
          <cell r="D683">
            <v>3021</v>
          </cell>
          <cell r="E683" t="str">
            <v xml:space="preserve">	</v>
          </cell>
          <cell r="F683">
            <v>11.8</v>
          </cell>
        </row>
        <row r="684">
          <cell r="A684" t="str">
            <v>h2-bus-3022</v>
          </cell>
          <cell r="B684" t="str">
            <v>h2</v>
          </cell>
          <cell r="C684" t="str">
            <v>bus</v>
          </cell>
          <cell r="D684">
            <v>3022</v>
          </cell>
          <cell r="E684" t="str">
            <v xml:space="preserve">	</v>
          </cell>
          <cell r="F684">
            <v>10.71</v>
          </cell>
        </row>
        <row r="685">
          <cell r="A685" t="str">
            <v>h2-bus-3031</v>
          </cell>
          <cell r="B685" t="str">
            <v>h2</v>
          </cell>
          <cell r="C685" t="str">
            <v>bus</v>
          </cell>
          <cell r="D685">
            <v>3031</v>
          </cell>
          <cell r="E685" t="str">
            <v xml:space="preserve">	</v>
          </cell>
          <cell r="F685">
            <v>10.93</v>
          </cell>
        </row>
        <row r="686">
          <cell r="A686" t="str">
            <v>h2-bus-3032</v>
          </cell>
          <cell r="B686" t="str">
            <v>h2</v>
          </cell>
          <cell r="C686" t="str">
            <v>bus</v>
          </cell>
          <cell r="D686">
            <v>3032</v>
          </cell>
          <cell r="E686" t="str">
            <v xml:space="preserve">	</v>
          </cell>
          <cell r="F686">
            <v>11.1</v>
          </cell>
        </row>
        <row r="687">
          <cell r="A687" t="str">
            <v>h2-bus-3041</v>
          </cell>
          <cell r="B687" t="str">
            <v>h2</v>
          </cell>
          <cell r="C687" t="str">
            <v>bus</v>
          </cell>
          <cell r="D687">
            <v>3041</v>
          </cell>
          <cell r="E687" t="str">
            <v xml:space="preserve">	</v>
          </cell>
          <cell r="F687">
            <v>15.04</v>
          </cell>
        </row>
        <row r="688">
          <cell r="A688" t="str">
            <v>h2-bus-3042</v>
          </cell>
          <cell r="B688" t="str">
            <v>h2</v>
          </cell>
          <cell r="C688" t="str">
            <v>bus</v>
          </cell>
          <cell r="D688">
            <v>3042</v>
          </cell>
          <cell r="E688" t="str">
            <v xml:space="preserve">	</v>
          </cell>
          <cell r="F688">
            <v>14.63</v>
          </cell>
        </row>
        <row r="689">
          <cell r="A689" t="str">
            <v>h2-bus-3051</v>
          </cell>
          <cell r="B689" t="str">
            <v>h2</v>
          </cell>
          <cell r="C689" t="str">
            <v>bus</v>
          </cell>
          <cell r="D689">
            <v>3051</v>
          </cell>
          <cell r="E689" t="str">
            <v xml:space="preserve">	</v>
          </cell>
          <cell r="F689">
            <v>7.8</v>
          </cell>
        </row>
        <row r="690">
          <cell r="A690" t="str">
            <v>h2-bus-3052</v>
          </cell>
          <cell r="B690" t="str">
            <v>h2</v>
          </cell>
          <cell r="C690" t="str">
            <v>bus</v>
          </cell>
          <cell r="D690">
            <v>3052</v>
          </cell>
          <cell r="E690" t="str">
            <v xml:space="preserve">	</v>
          </cell>
          <cell r="F690">
            <v>7.65</v>
          </cell>
        </row>
        <row r="691">
          <cell r="A691" t="str">
            <v>h2-bus-3061</v>
          </cell>
          <cell r="B691" t="str">
            <v>h2</v>
          </cell>
          <cell r="C691" t="str">
            <v>bus</v>
          </cell>
          <cell r="D691">
            <v>3061</v>
          </cell>
          <cell r="E691" t="str">
            <v xml:space="preserve">	</v>
          </cell>
          <cell r="F691">
            <v>4.9000000000000004</v>
          </cell>
        </row>
        <row r="692">
          <cell r="A692" t="str">
            <v>h2-bus-3062</v>
          </cell>
          <cell r="B692" t="str">
            <v>h2</v>
          </cell>
          <cell r="C692" t="str">
            <v>bus</v>
          </cell>
          <cell r="D692">
            <v>3062</v>
          </cell>
          <cell r="E692" t="str">
            <v xml:space="preserve">	</v>
          </cell>
          <cell r="F692">
            <v>4.67</v>
          </cell>
        </row>
        <row r="693">
          <cell r="A693" t="str">
            <v>h2-bus-3071</v>
          </cell>
          <cell r="B693" t="str">
            <v>h2</v>
          </cell>
          <cell r="C693" t="str">
            <v>bus</v>
          </cell>
          <cell r="D693">
            <v>3071</v>
          </cell>
          <cell r="E693" t="str">
            <v xml:space="preserve">	</v>
          </cell>
          <cell r="F693">
            <v>15.97</v>
          </cell>
        </row>
        <row r="694">
          <cell r="A694" t="str">
            <v>h2-bus-3072</v>
          </cell>
          <cell r="B694" t="str">
            <v>h2</v>
          </cell>
          <cell r="C694" t="str">
            <v>bus</v>
          </cell>
          <cell r="D694">
            <v>3072</v>
          </cell>
          <cell r="E694" t="str">
            <v xml:space="preserve">	</v>
          </cell>
          <cell r="F694">
            <v>12.86</v>
          </cell>
        </row>
        <row r="695">
          <cell r="A695" t="str">
            <v>h2-bus-3081</v>
          </cell>
          <cell r="B695" t="str">
            <v>h2</v>
          </cell>
          <cell r="C695" t="str">
            <v>bus</v>
          </cell>
          <cell r="D695">
            <v>3081</v>
          </cell>
          <cell r="E695" t="str">
            <v xml:space="preserve">	</v>
          </cell>
          <cell r="F695">
            <v>4.0199999999999996</v>
          </cell>
        </row>
        <row r="696">
          <cell r="A696" t="str">
            <v>h2-bus-3082</v>
          </cell>
          <cell r="B696" t="str">
            <v>h2</v>
          </cell>
          <cell r="C696" t="str">
            <v>bus</v>
          </cell>
          <cell r="D696">
            <v>3082</v>
          </cell>
          <cell r="E696" t="str">
            <v xml:space="preserve">	</v>
          </cell>
          <cell r="F696">
            <v>3.8</v>
          </cell>
        </row>
        <row r="697">
          <cell r="A697" t="str">
            <v>h2-bus-3091</v>
          </cell>
          <cell r="B697" t="str">
            <v>h2</v>
          </cell>
          <cell r="C697" t="str">
            <v>bus</v>
          </cell>
          <cell r="D697">
            <v>3091</v>
          </cell>
          <cell r="E697" t="str">
            <v xml:space="preserve">	</v>
          </cell>
          <cell r="F697">
            <v>14.09</v>
          </cell>
        </row>
        <row r="698">
          <cell r="A698" t="str">
            <v>h2-bus-3092</v>
          </cell>
          <cell r="B698" t="str">
            <v>h2</v>
          </cell>
          <cell r="C698" t="str">
            <v>bus</v>
          </cell>
          <cell r="D698">
            <v>3092</v>
          </cell>
          <cell r="E698" t="str">
            <v xml:space="preserve">	</v>
          </cell>
          <cell r="F698">
            <v>6.54</v>
          </cell>
        </row>
        <row r="699">
          <cell r="A699" t="str">
            <v>h2-bus-4011</v>
          </cell>
          <cell r="B699" t="str">
            <v>h2</v>
          </cell>
          <cell r="C699" t="str">
            <v>bus</v>
          </cell>
          <cell r="D699">
            <v>4011</v>
          </cell>
          <cell r="E699" t="str">
            <v xml:space="preserve">	</v>
          </cell>
          <cell r="F699">
            <v>4.0199999999999996</v>
          </cell>
        </row>
        <row r="700">
          <cell r="A700" t="str">
            <v>h2-bus-4012</v>
          </cell>
          <cell r="B700" t="str">
            <v>h2</v>
          </cell>
          <cell r="C700" t="str">
            <v>bus</v>
          </cell>
          <cell r="D700">
            <v>4012</v>
          </cell>
          <cell r="E700" t="str">
            <v xml:space="preserve">	</v>
          </cell>
          <cell r="F700">
            <v>4.47</v>
          </cell>
        </row>
        <row r="701">
          <cell r="A701" t="str">
            <v>h2-bus-4021</v>
          </cell>
          <cell r="B701" t="str">
            <v>h2</v>
          </cell>
          <cell r="C701" t="str">
            <v>bus</v>
          </cell>
          <cell r="D701">
            <v>4021</v>
          </cell>
          <cell r="E701" t="str">
            <v xml:space="preserve">	</v>
          </cell>
          <cell r="F701">
            <v>6.18</v>
          </cell>
        </row>
        <row r="702">
          <cell r="A702" t="str">
            <v>h2-bus-4022</v>
          </cell>
          <cell r="B702" t="str">
            <v>h2</v>
          </cell>
          <cell r="C702" t="str">
            <v>bus</v>
          </cell>
          <cell r="D702">
            <v>4022</v>
          </cell>
          <cell r="E702" t="str">
            <v xml:space="preserve">	</v>
          </cell>
          <cell r="F702">
            <v>3.72</v>
          </cell>
        </row>
        <row r="703">
          <cell r="A703" t="str">
            <v>h2-bus-4031</v>
          </cell>
          <cell r="B703" t="str">
            <v>h2</v>
          </cell>
          <cell r="C703" t="str">
            <v>bus</v>
          </cell>
          <cell r="D703">
            <v>4031</v>
          </cell>
          <cell r="E703" t="str">
            <v xml:space="preserve">	</v>
          </cell>
          <cell r="F703">
            <v>5.17</v>
          </cell>
        </row>
        <row r="704">
          <cell r="A704" t="str">
            <v>h2-bus-4032</v>
          </cell>
          <cell r="B704" t="str">
            <v>h2</v>
          </cell>
          <cell r="C704" t="str">
            <v>bus</v>
          </cell>
          <cell r="D704">
            <v>4032</v>
          </cell>
          <cell r="E704" t="str">
            <v xml:space="preserve">	</v>
          </cell>
          <cell r="F704">
            <v>5.79</v>
          </cell>
        </row>
        <row r="705">
          <cell r="A705" t="str">
            <v>h2-bus-4041</v>
          </cell>
          <cell r="B705" t="str">
            <v>h2</v>
          </cell>
          <cell r="C705" t="str">
            <v>bus</v>
          </cell>
          <cell r="D705">
            <v>4041</v>
          </cell>
          <cell r="E705" t="str">
            <v xml:space="preserve">	</v>
          </cell>
          <cell r="F705">
            <v>8.51</v>
          </cell>
        </row>
        <row r="706">
          <cell r="A706" t="str">
            <v>h2-bus-4042</v>
          </cell>
          <cell r="B706" t="str">
            <v>h2</v>
          </cell>
          <cell r="C706" t="str">
            <v>bus</v>
          </cell>
          <cell r="D706">
            <v>4042</v>
          </cell>
          <cell r="E706" t="str">
            <v xml:space="preserve">	</v>
          </cell>
          <cell r="F706">
            <v>4.6399999999999997</v>
          </cell>
        </row>
        <row r="707">
          <cell r="A707" t="str">
            <v>h2-bus-4051</v>
          </cell>
          <cell r="B707" t="str">
            <v>h2</v>
          </cell>
          <cell r="C707" t="str">
            <v>bus</v>
          </cell>
          <cell r="D707">
            <v>4051</v>
          </cell>
          <cell r="E707" t="str">
            <v xml:space="preserve">	</v>
          </cell>
          <cell r="F707">
            <v>8.89</v>
          </cell>
        </row>
        <row r="708">
          <cell r="A708" t="str">
            <v>h2-bus-4052</v>
          </cell>
          <cell r="B708" t="str">
            <v>h2</v>
          </cell>
          <cell r="C708" t="str">
            <v>bus</v>
          </cell>
          <cell r="D708">
            <v>4052</v>
          </cell>
          <cell r="E708" t="str">
            <v xml:space="preserve">	</v>
          </cell>
          <cell r="F708">
            <v>5.03</v>
          </cell>
        </row>
        <row r="709">
          <cell r="A709" t="str">
            <v>h2-bus-4061</v>
          </cell>
          <cell r="B709" t="str">
            <v>h2</v>
          </cell>
          <cell r="C709" t="str">
            <v>bus</v>
          </cell>
          <cell r="D709">
            <v>4061</v>
          </cell>
          <cell r="E709" t="str">
            <v xml:space="preserve">	</v>
          </cell>
          <cell r="F709">
            <v>10.6</v>
          </cell>
        </row>
        <row r="710">
          <cell r="A710" t="str">
            <v>h2-bus-4062</v>
          </cell>
          <cell r="B710" t="str">
            <v>h2</v>
          </cell>
          <cell r="C710" t="str">
            <v>bus</v>
          </cell>
          <cell r="D710">
            <v>4062</v>
          </cell>
          <cell r="E710" t="str">
            <v xml:space="preserve">	</v>
          </cell>
          <cell r="F710">
            <v>11.98</v>
          </cell>
        </row>
        <row r="711">
          <cell r="A711" t="str">
            <v>h2-bus-4071</v>
          </cell>
          <cell r="B711" t="str">
            <v>h2</v>
          </cell>
          <cell r="C711" t="str">
            <v>bus</v>
          </cell>
          <cell r="D711">
            <v>4071</v>
          </cell>
          <cell r="E711" t="str">
            <v xml:space="preserve">	</v>
          </cell>
          <cell r="F711">
            <v>1.73</v>
          </cell>
        </row>
        <row r="712">
          <cell r="A712" t="str">
            <v>h2-bus-4072</v>
          </cell>
          <cell r="B712" t="str">
            <v>h2</v>
          </cell>
          <cell r="C712" t="str">
            <v>bus</v>
          </cell>
          <cell r="D712">
            <v>4072</v>
          </cell>
          <cell r="E712" t="str">
            <v xml:space="preserve">	</v>
          </cell>
          <cell r="F712">
            <v>6.12</v>
          </cell>
        </row>
        <row r="713">
          <cell r="A713" t="str">
            <v>h2-bus-4091</v>
          </cell>
          <cell r="B713" t="str">
            <v>h2</v>
          </cell>
          <cell r="C713" t="str">
            <v>bus</v>
          </cell>
          <cell r="D713">
            <v>4091</v>
          </cell>
          <cell r="E713" t="str">
            <v xml:space="preserve">	</v>
          </cell>
          <cell r="F713">
            <v>3.2</v>
          </cell>
        </row>
        <row r="714">
          <cell r="A714" t="str">
            <v>h2-bus-4092</v>
          </cell>
          <cell r="B714" t="str">
            <v>h2</v>
          </cell>
          <cell r="C714" t="str">
            <v>bus</v>
          </cell>
          <cell r="D714">
            <v>4092</v>
          </cell>
          <cell r="E714" t="str">
            <v xml:space="preserve">	</v>
          </cell>
          <cell r="F714">
            <v>9.31</v>
          </cell>
        </row>
        <row r="715">
          <cell r="A715" t="str">
            <v>h2-bus-4101</v>
          </cell>
          <cell r="B715" t="str">
            <v>h2</v>
          </cell>
          <cell r="C715" t="str">
            <v>bus</v>
          </cell>
          <cell r="D715">
            <v>4101</v>
          </cell>
          <cell r="E715" t="str">
            <v xml:space="preserve">	</v>
          </cell>
          <cell r="F715">
            <v>10.43</v>
          </cell>
        </row>
        <row r="716">
          <cell r="A716" t="str">
            <v>h2-bus-4102</v>
          </cell>
          <cell r="B716" t="str">
            <v>h2</v>
          </cell>
          <cell r="C716" t="str">
            <v>bus</v>
          </cell>
          <cell r="D716">
            <v>4102</v>
          </cell>
          <cell r="E716" t="str">
            <v xml:space="preserve">	</v>
          </cell>
          <cell r="F716">
            <v>11.05</v>
          </cell>
        </row>
        <row r="717">
          <cell r="A717" t="str">
            <v>h2-bus-4111</v>
          </cell>
          <cell r="B717" t="str">
            <v>h2</v>
          </cell>
          <cell r="C717" t="str">
            <v>bus</v>
          </cell>
          <cell r="D717">
            <v>4111</v>
          </cell>
          <cell r="E717" t="str">
            <v xml:space="preserve">	</v>
          </cell>
          <cell r="F717">
            <v>6.09</v>
          </cell>
        </row>
        <row r="718">
          <cell r="A718" t="str">
            <v>h2-bus-4112</v>
          </cell>
          <cell r="B718" t="str">
            <v>h2</v>
          </cell>
          <cell r="C718" t="str">
            <v>bus</v>
          </cell>
          <cell r="D718">
            <v>4112</v>
          </cell>
          <cell r="E718" t="str">
            <v xml:space="preserve">	</v>
          </cell>
          <cell r="F718">
            <v>12.96</v>
          </cell>
        </row>
        <row r="719">
          <cell r="A719" t="str">
            <v>h2-bus-4121</v>
          </cell>
          <cell r="B719" t="str">
            <v>h2</v>
          </cell>
          <cell r="C719" t="str">
            <v>bus</v>
          </cell>
          <cell r="D719">
            <v>4121</v>
          </cell>
          <cell r="E719" t="str">
            <v xml:space="preserve">	</v>
          </cell>
          <cell r="F719">
            <v>9.06</v>
          </cell>
        </row>
        <row r="720">
          <cell r="A720" t="str">
            <v>h2-bus-4122</v>
          </cell>
          <cell r="B720" t="str">
            <v>h2</v>
          </cell>
          <cell r="C720" t="str">
            <v>bus</v>
          </cell>
          <cell r="D720">
            <v>4122</v>
          </cell>
          <cell r="E720" t="str">
            <v xml:space="preserve">	</v>
          </cell>
          <cell r="F720">
            <v>13.77</v>
          </cell>
        </row>
        <row r="721">
          <cell r="A721" t="str">
            <v>h2-bus-5011</v>
          </cell>
          <cell r="B721" t="str">
            <v>h2</v>
          </cell>
          <cell r="C721" t="str">
            <v>bus</v>
          </cell>
          <cell r="D721">
            <v>5011</v>
          </cell>
          <cell r="E721" t="str">
            <v xml:space="preserve">	</v>
          </cell>
          <cell r="F721">
            <v>12.27</v>
          </cell>
        </row>
        <row r="722">
          <cell r="A722" t="str">
            <v>h2-bus-5012</v>
          </cell>
          <cell r="B722" t="str">
            <v>h2</v>
          </cell>
          <cell r="C722" t="str">
            <v>bus</v>
          </cell>
          <cell r="D722">
            <v>5012</v>
          </cell>
          <cell r="E722" t="str">
            <v xml:space="preserve">	</v>
          </cell>
          <cell r="F722">
            <v>8.92</v>
          </cell>
        </row>
        <row r="723">
          <cell r="A723" t="str">
            <v>h2-bus-5031</v>
          </cell>
          <cell r="B723" t="str">
            <v>h2</v>
          </cell>
          <cell r="C723" t="str">
            <v>bus</v>
          </cell>
          <cell r="D723">
            <v>5031</v>
          </cell>
          <cell r="E723" t="str">
            <v xml:space="preserve">	</v>
          </cell>
          <cell r="F723">
            <v>2.46</v>
          </cell>
        </row>
        <row r="724">
          <cell r="A724" t="str">
            <v>h2-bus-5032</v>
          </cell>
          <cell r="B724" t="str">
            <v>h2</v>
          </cell>
          <cell r="C724" t="str">
            <v>bus</v>
          </cell>
          <cell r="D724">
            <v>5032</v>
          </cell>
          <cell r="E724" t="str">
            <v xml:space="preserve">	</v>
          </cell>
          <cell r="F724">
            <v>1.87</v>
          </cell>
        </row>
        <row r="725">
          <cell r="A725" t="str">
            <v>h2-bus-5041</v>
          </cell>
          <cell r="B725" t="str">
            <v>h2</v>
          </cell>
          <cell r="C725" t="str">
            <v>bus</v>
          </cell>
          <cell r="D725">
            <v>5041</v>
          </cell>
          <cell r="E725" t="str">
            <v xml:space="preserve">	</v>
          </cell>
          <cell r="F725">
            <v>9.34</v>
          </cell>
        </row>
        <row r="726">
          <cell r="A726" t="str">
            <v>h2-bus-5042</v>
          </cell>
          <cell r="B726" t="str">
            <v>h2</v>
          </cell>
          <cell r="C726" t="str">
            <v>bus</v>
          </cell>
          <cell r="D726">
            <v>5042</v>
          </cell>
          <cell r="E726" t="str">
            <v xml:space="preserve">	</v>
          </cell>
          <cell r="F726">
            <v>5.53</v>
          </cell>
        </row>
        <row r="727">
          <cell r="A727" t="str">
            <v>h2-bus-5051</v>
          </cell>
          <cell r="B727" t="str">
            <v>h2</v>
          </cell>
          <cell r="C727" t="str">
            <v>bus</v>
          </cell>
          <cell r="D727">
            <v>5051</v>
          </cell>
          <cell r="E727" t="str">
            <v xml:space="preserve">	</v>
          </cell>
          <cell r="F727">
            <v>11.74</v>
          </cell>
        </row>
        <row r="728">
          <cell r="A728" t="str">
            <v>h2-bus-5052</v>
          </cell>
          <cell r="B728" t="str">
            <v>h2</v>
          </cell>
          <cell r="C728" t="str">
            <v>bus</v>
          </cell>
          <cell r="D728">
            <v>5052</v>
          </cell>
          <cell r="E728" t="str">
            <v xml:space="preserve">	</v>
          </cell>
          <cell r="F728">
            <v>9.6</v>
          </cell>
        </row>
        <row r="729">
          <cell r="A729" t="str">
            <v>h2-bus-5061</v>
          </cell>
          <cell r="B729" t="str">
            <v>h2</v>
          </cell>
          <cell r="C729" t="str">
            <v>bus</v>
          </cell>
          <cell r="D729">
            <v>5061</v>
          </cell>
          <cell r="E729" t="str">
            <v xml:space="preserve">	</v>
          </cell>
          <cell r="F729">
            <v>4.76</v>
          </cell>
        </row>
        <row r="730">
          <cell r="A730" t="str">
            <v>h2-bus-5062</v>
          </cell>
          <cell r="B730" t="str">
            <v>h2</v>
          </cell>
          <cell r="C730" t="str">
            <v>bus</v>
          </cell>
          <cell r="D730">
            <v>5062</v>
          </cell>
          <cell r="E730" t="str">
            <v xml:space="preserve">	</v>
          </cell>
          <cell r="F730">
            <v>14.05</v>
          </cell>
        </row>
        <row r="731">
          <cell r="A731" t="str">
            <v>h2-bus-5071</v>
          </cell>
          <cell r="B731" t="str">
            <v>h2</v>
          </cell>
          <cell r="C731" t="str">
            <v>bus</v>
          </cell>
          <cell r="D731">
            <v>5071</v>
          </cell>
          <cell r="E731" t="str">
            <v xml:space="preserve">	</v>
          </cell>
          <cell r="F731">
            <v>10.23</v>
          </cell>
        </row>
        <row r="732">
          <cell r="A732" t="str">
            <v>h2-bus-5072</v>
          </cell>
          <cell r="B732" t="str">
            <v>h2</v>
          </cell>
          <cell r="C732" t="str">
            <v>bus</v>
          </cell>
          <cell r="D732">
            <v>5072</v>
          </cell>
          <cell r="E732" t="str">
            <v xml:space="preserve">	</v>
          </cell>
          <cell r="F732">
            <v>4.75</v>
          </cell>
        </row>
        <row r="733">
          <cell r="A733" t="str">
            <v>h2-bus-5081</v>
          </cell>
          <cell r="B733" t="str">
            <v>h2</v>
          </cell>
          <cell r="C733" t="str">
            <v>bus</v>
          </cell>
          <cell r="D733">
            <v>5081</v>
          </cell>
          <cell r="E733" t="str">
            <v xml:space="preserve">	</v>
          </cell>
          <cell r="F733">
            <v>3.21</v>
          </cell>
        </row>
        <row r="734">
          <cell r="A734" t="str">
            <v>h2-bus-5082</v>
          </cell>
          <cell r="B734" t="str">
            <v>h2</v>
          </cell>
          <cell r="C734" t="str">
            <v>bus</v>
          </cell>
          <cell r="D734">
            <v>5082</v>
          </cell>
          <cell r="E734" t="str">
            <v xml:space="preserve">	</v>
          </cell>
          <cell r="F734">
            <v>2.52</v>
          </cell>
        </row>
        <row r="735">
          <cell r="A735" t="str">
            <v>h2-bus-5091</v>
          </cell>
          <cell r="B735" t="str">
            <v>h2</v>
          </cell>
          <cell r="C735" t="str">
            <v>bus</v>
          </cell>
          <cell r="D735">
            <v>5091</v>
          </cell>
          <cell r="E735" t="str">
            <v xml:space="preserve">	</v>
          </cell>
          <cell r="F735">
            <v>13.06</v>
          </cell>
        </row>
        <row r="736">
          <cell r="A736" t="str">
            <v>h2-bus-5092</v>
          </cell>
          <cell r="B736" t="str">
            <v>h2</v>
          </cell>
          <cell r="C736" t="str">
            <v>bus</v>
          </cell>
          <cell r="D736">
            <v>5092</v>
          </cell>
          <cell r="E736" t="str">
            <v xml:space="preserve">	</v>
          </cell>
          <cell r="F736">
            <v>6.6</v>
          </cell>
        </row>
        <row r="737">
          <cell r="A737" t="str">
            <v>h2-bus-5101</v>
          </cell>
          <cell r="B737" t="str">
            <v>h2</v>
          </cell>
          <cell r="C737" t="str">
            <v>bus</v>
          </cell>
          <cell r="D737">
            <v>5101</v>
          </cell>
          <cell r="E737" t="str">
            <v xml:space="preserve">	</v>
          </cell>
          <cell r="F737">
            <v>16.77</v>
          </cell>
        </row>
        <row r="738">
          <cell r="A738" t="str">
            <v>h2-bus-5102</v>
          </cell>
          <cell r="B738" t="str">
            <v>h2</v>
          </cell>
          <cell r="C738" t="str">
            <v>bus</v>
          </cell>
          <cell r="D738">
            <v>5102</v>
          </cell>
          <cell r="E738" t="str">
            <v xml:space="preserve">	</v>
          </cell>
          <cell r="F738">
            <v>8.43</v>
          </cell>
        </row>
        <row r="739">
          <cell r="A739" t="str">
            <v>h2-bus-5111</v>
          </cell>
          <cell r="B739" t="str">
            <v>h2</v>
          </cell>
          <cell r="C739" t="str">
            <v>bus</v>
          </cell>
          <cell r="D739">
            <v>5111</v>
          </cell>
          <cell r="E739" t="str">
            <v xml:space="preserve">	</v>
          </cell>
          <cell r="F739">
            <v>3.86</v>
          </cell>
        </row>
        <row r="740">
          <cell r="A740" t="str">
            <v>h2-bus-5112</v>
          </cell>
          <cell r="B740" t="str">
            <v>h2</v>
          </cell>
          <cell r="C740" t="str">
            <v>bus</v>
          </cell>
          <cell r="D740">
            <v>5112</v>
          </cell>
          <cell r="E740" t="str">
            <v xml:space="preserve">	</v>
          </cell>
          <cell r="F740">
            <v>2.44</v>
          </cell>
        </row>
        <row r="741">
          <cell r="A741" t="str">
            <v>h2-bus-5121</v>
          </cell>
          <cell r="B741" t="str">
            <v>h2</v>
          </cell>
          <cell r="C741" t="str">
            <v>bus</v>
          </cell>
          <cell r="D741">
            <v>5121</v>
          </cell>
          <cell r="E741" t="str">
            <v xml:space="preserve">	</v>
          </cell>
          <cell r="F741">
            <v>3.25</v>
          </cell>
        </row>
        <row r="742">
          <cell r="A742" t="str">
            <v>h2-bus-5122</v>
          </cell>
          <cell r="B742" t="str">
            <v>h2</v>
          </cell>
          <cell r="C742" t="str">
            <v>bus</v>
          </cell>
          <cell r="D742">
            <v>5122</v>
          </cell>
          <cell r="E742" t="str">
            <v xml:space="preserve">	</v>
          </cell>
          <cell r="F742">
            <v>1.93</v>
          </cell>
        </row>
        <row r="743">
          <cell r="A743" t="str">
            <v>h2-bus-5131</v>
          </cell>
          <cell r="B743" t="str">
            <v>h2</v>
          </cell>
          <cell r="C743" t="str">
            <v>bus</v>
          </cell>
          <cell r="D743">
            <v>5131</v>
          </cell>
          <cell r="E743" t="str">
            <v xml:space="preserve">	</v>
          </cell>
          <cell r="F743">
            <v>3.89</v>
          </cell>
        </row>
        <row r="744">
          <cell r="A744" t="str">
            <v>h2-bus-5132</v>
          </cell>
          <cell r="B744" t="str">
            <v>h2</v>
          </cell>
          <cell r="C744" t="str">
            <v>bus</v>
          </cell>
          <cell r="D744">
            <v>5132</v>
          </cell>
          <cell r="E744" t="str">
            <v xml:space="preserve">	</v>
          </cell>
          <cell r="F744">
            <v>3.46</v>
          </cell>
        </row>
        <row r="745">
          <cell r="A745" t="str">
            <v>h2-bus-5141</v>
          </cell>
          <cell r="B745" t="str">
            <v>h2</v>
          </cell>
          <cell r="C745" t="str">
            <v>bus</v>
          </cell>
          <cell r="D745">
            <v>5141</v>
          </cell>
          <cell r="E745" t="str">
            <v xml:space="preserve">	</v>
          </cell>
          <cell r="F745">
            <v>1.86</v>
          </cell>
        </row>
        <row r="746">
          <cell r="A746" t="str">
            <v>h2-bus-5142</v>
          </cell>
          <cell r="B746" t="str">
            <v>h2</v>
          </cell>
          <cell r="C746" t="str">
            <v>bus</v>
          </cell>
          <cell r="D746">
            <v>5142</v>
          </cell>
          <cell r="E746" t="str">
            <v xml:space="preserve">	</v>
          </cell>
          <cell r="F746">
            <v>1.33</v>
          </cell>
        </row>
        <row r="747">
          <cell r="A747" t="str">
            <v>h2-bus-5151</v>
          </cell>
          <cell r="B747" t="str">
            <v>h2</v>
          </cell>
          <cell r="C747" t="str">
            <v>bus</v>
          </cell>
          <cell r="D747">
            <v>5151</v>
          </cell>
          <cell r="E747" t="str">
            <v xml:space="preserve">	</v>
          </cell>
          <cell r="F747">
            <v>1.88</v>
          </cell>
        </row>
        <row r="748">
          <cell r="A748" t="str">
            <v>h2-bus-5152</v>
          </cell>
          <cell r="B748" t="str">
            <v>h2</v>
          </cell>
          <cell r="C748" t="str">
            <v>bus</v>
          </cell>
          <cell r="D748">
            <v>5152</v>
          </cell>
          <cell r="E748" t="str">
            <v xml:space="preserve">	</v>
          </cell>
          <cell r="F748">
            <v>1.4</v>
          </cell>
        </row>
        <row r="749">
          <cell r="A749" t="str">
            <v>h2-bus-5161</v>
          </cell>
          <cell r="B749" t="str">
            <v>h2</v>
          </cell>
          <cell r="C749" t="str">
            <v>bus</v>
          </cell>
          <cell r="D749">
            <v>5161</v>
          </cell>
          <cell r="E749" t="str">
            <v xml:space="preserve">	</v>
          </cell>
          <cell r="F749">
            <v>0.4</v>
          </cell>
        </row>
        <row r="750">
          <cell r="A750" t="str">
            <v>h2-bus-5162</v>
          </cell>
          <cell r="B750" t="str">
            <v>h2</v>
          </cell>
          <cell r="C750" t="str">
            <v>bus</v>
          </cell>
          <cell r="D750">
            <v>5162</v>
          </cell>
          <cell r="E750" t="str">
            <v xml:space="preserve">	</v>
          </cell>
          <cell r="F750">
            <v>0.3</v>
          </cell>
        </row>
        <row r="751">
          <cell r="A751" t="str">
            <v>h2-bus-5171</v>
          </cell>
          <cell r="B751" t="str">
            <v>h2</v>
          </cell>
          <cell r="C751" t="str">
            <v>bus</v>
          </cell>
          <cell r="D751">
            <v>5171</v>
          </cell>
          <cell r="E751" t="str">
            <v xml:space="preserve">	</v>
          </cell>
          <cell r="F751">
            <v>1.21</v>
          </cell>
        </row>
        <row r="752">
          <cell r="A752" t="str">
            <v>h2-bus-5172</v>
          </cell>
          <cell r="B752" t="str">
            <v>h2</v>
          </cell>
          <cell r="C752" t="str">
            <v>bus</v>
          </cell>
          <cell r="D752">
            <v>5172</v>
          </cell>
          <cell r="E752" t="str">
            <v xml:space="preserve">	</v>
          </cell>
          <cell r="F752">
            <v>2.12</v>
          </cell>
        </row>
        <row r="753">
          <cell r="A753" t="str">
            <v>h2-bus-5181</v>
          </cell>
          <cell r="B753" t="str">
            <v>h2</v>
          </cell>
          <cell r="C753" t="str">
            <v>bus</v>
          </cell>
          <cell r="D753">
            <v>5181</v>
          </cell>
          <cell r="E753" t="str">
            <v xml:space="preserve">	</v>
          </cell>
          <cell r="F753">
            <v>3.47</v>
          </cell>
        </row>
        <row r="754">
          <cell r="A754" t="str">
            <v>h2-bus-5182</v>
          </cell>
          <cell r="B754" t="str">
            <v>h2</v>
          </cell>
          <cell r="C754" t="str">
            <v>bus</v>
          </cell>
          <cell r="D754">
            <v>5182</v>
          </cell>
          <cell r="E754" t="str">
            <v xml:space="preserve">	</v>
          </cell>
          <cell r="F754">
            <v>4.37</v>
          </cell>
        </row>
        <row r="755">
          <cell r="A755" t="str">
            <v>h2-bus-5191</v>
          </cell>
          <cell r="B755" t="str">
            <v>h2</v>
          </cell>
          <cell r="C755" t="str">
            <v>bus</v>
          </cell>
          <cell r="D755">
            <v>5191</v>
          </cell>
          <cell r="E755" t="str">
            <v xml:space="preserve">	</v>
          </cell>
          <cell r="F755">
            <v>1.96</v>
          </cell>
        </row>
        <row r="756">
          <cell r="A756" t="str">
            <v>h2-bus-5192</v>
          </cell>
          <cell r="B756" t="str">
            <v>h2</v>
          </cell>
          <cell r="C756" t="str">
            <v>bus</v>
          </cell>
          <cell r="D756">
            <v>5192</v>
          </cell>
          <cell r="E756" t="str">
            <v xml:space="preserve">	</v>
          </cell>
          <cell r="F756">
            <v>0.7</v>
          </cell>
        </row>
        <row r="757">
          <cell r="A757" t="str">
            <v>h2-bus-5201</v>
          </cell>
          <cell r="B757" t="str">
            <v>h2</v>
          </cell>
          <cell r="C757" t="str">
            <v>bus</v>
          </cell>
          <cell r="D757">
            <v>5201</v>
          </cell>
          <cell r="E757" t="str">
            <v xml:space="preserve">	</v>
          </cell>
          <cell r="F757">
            <v>1.93</v>
          </cell>
        </row>
        <row r="758">
          <cell r="A758" t="str">
            <v>h2-bus-5202</v>
          </cell>
          <cell r="B758" t="str">
            <v>h2</v>
          </cell>
          <cell r="C758" t="str">
            <v>bus</v>
          </cell>
          <cell r="D758">
            <v>5202</v>
          </cell>
          <cell r="E758" t="str">
            <v xml:space="preserve">	</v>
          </cell>
          <cell r="F758">
            <v>2.64</v>
          </cell>
        </row>
        <row r="759">
          <cell r="A759" t="str">
            <v>h2-bus-5221</v>
          </cell>
          <cell r="B759" t="str">
            <v>h2</v>
          </cell>
          <cell r="C759" t="str">
            <v>bus</v>
          </cell>
          <cell r="D759">
            <v>5221</v>
          </cell>
          <cell r="E759" t="str">
            <v xml:space="preserve">	</v>
          </cell>
          <cell r="F759">
            <v>3.28</v>
          </cell>
        </row>
        <row r="760">
          <cell r="A760" t="str">
            <v>h2-bus-5222</v>
          </cell>
          <cell r="B760" t="str">
            <v>h2</v>
          </cell>
          <cell r="C760" t="str">
            <v>bus</v>
          </cell>
          <cell r="D760">
            <v>5222</v>
          </cell>
          <cell r="E760" t="str">
            <v xml:space="preserve">	</v>
          </cell>
          <cell r="F760">
            <v>1.67</v>
          </cell>
        </row>
        <row r="761">
          <cell r="A761" t="str">
            <v>h2-bus-6011</v>
          </cell>
          <cell r="B761" t="str">
            <v>h2</v>
          </cell>
          <cell r="C761" t="str">
            <v>bus</v>
          </cell>
          <cell r="D761">
            <v>6011</v>
          </cell>
          <cell r="E761" t="str">
            <v xml:space="preserve">	</v>
          </cell>
          <cell r="F761">
            <v>3.25</v>
          </cell>
        </row>
        <row r="762">
          <cell r="A762" t="str">
            <v>h2-bus-6012</v>
          </cell>
          <cell r="B762" t="str">
            <v>h2</v>
          </cell>
          <cell r="C762" t="str">
            <v>bus</v>
          </cell>
          <cell r="D762">
            <v>6012</v>
          </cell>
          <cell r="E762" t="str">
            <v xml:space="preserve">	</v>
          </cell>
          <cell r="F762">
            <v>2.56</v>
          </cell>
        </row>
        <row r="763">
          <cell r="A763" t="str">
            <v>h2-bus-6021</v>
          </cell>
          <cell r="B763" t="str">
            <v>h2</v>
          </cell>
          <cell r="C763" t="str">
            <v>bus</v>
          </cell>
          <cell r="D763">
            <v>6021</v>
          </cell>
          <cell r="E763" t="str">
            <v xml:space="preserve">	</v>
          </cell>
          <cell r="F763">
            <v>28.27</v>
          </cell>
        </row>
        <row r="764">
          <cell r="A764" t="str">
            <v>h2-bus-6022</v>
          </cell>
          <cell r="B764" t="str">
            <v>h2</v>
          </cell>
          <cell r="C764" t="str">
            <v>bus</v>
          </cell>
          <cell r="D764">
            <v>6022</v>
          </cell>
          <cell r="E764" t="str">
            <v xml:space="preserve">	</v>
          </cell>
          <cell r="F764">
            <v>22.53</v>
          </cell>
        </row>
        <row r="765">
          <cell r="A765" t="str">
            <v>h2-bus-6031</v>
          </cell>
          <cell r="B765" t="str">
            <v>h2</v>
          </cell>
          <cell r="C765" t="str">
            <v>bus</v>
          </cell>
          <cell r="D765">
            <v>6031</v>
          </cell>
          <cell r="E765" t="str">
            <v xml:space="preserve">	</v>
          </cell>
          <cell r="F765">
            <v>16.37</v>
          </cell>
        </row>
        <row r="766">
          <cell r="A766" t="str">
            <v>h2-bus-6032</v>
          </cell>
          <cell r="B766" t="str">
            <v>h2</v>
          </cell>
          <cell r="C766" t="str">
            <v>bus</v>
          </cell>
          <cell r="D766">
            <v>6032</v>
          </cell>
          <cell r="E766" t="str">
            <v xml:space="preserve">	</v>
          </cell>
          <cell r="F766">
            <v>15.15</v>
          </cell>
        </row>
        <row r="767">
          <cell r="A767" t="str">
            <v>h2-bus-6041</v>
          </cell>
          <cell r="B767" t="str">
            <v>h2</v>
          </cell>
          <cell r="C767" t="str">
            <v>bus</v>
          </cell>
          <cell r="D767">
            <v>6041</v>
          </cell>
          <cell r="E767" t="str">
            <v xml:space="preserve">	</v>
          </cell>
          <cell r="F767">
            <v>3.3</v>
          </cell>
        </row>
        <row r="768">
          <cell r="A768" t="str">
            <v>h2-bus-6042</v>
          </cell>
          <cell r="B768" t="str">
            <v>h2</v>
          </cell>
          <cell r="C768" t="str">
            <v>bus</v>
          </cell>
          <cell r="D768">
            <v>6042</v>
          </cell>
          <cell r="E768" t="str">
            <v xml:space="preserve">	</v>
          </cell>
          <cell r="F768">
            <v>8.23</v>
          </cell>
        </row>
        <row r="769">
          <cell r="A769" t="str">
            <v>h2-bus-6051</v>
          </cell>
          <cell r="B769" t="str">
            <v>h2</v>
          </cell>
          <cell r="C769" t="str">
            <v>bus</v>
          </cell>
          <cell r="D769">
            <v>6051</v>
          </cell>
          <cell r="E769" t="str">
            <v xml:space="preserve">	</v>
          </cell>
          <cell r="F769">
            <v>9.66</v>
          </cell>
        </row>
        <row r="770">
          <cell r="A770" t="str">
            <v>h2-bus-6052</v>
          </cell>
          <cell r="B770" t="str">
            <v>h2</v>
          </cell>
          <cell r="C770" t="str">
            <v>bus</v>
          </cell>
          <cell r="D770">
            <v>6052</v>
          </cell>
          <cell r="E770" t="str">
            <v xml:space="preserve">	</v>
          </cell>
          <cell r="F770">
            <v>8.4600000000000009</v>
          </cell>
        </row>
        <row r="771">
          <cell r="A771" t="str">
            <v>h2-bus-6061</v>
          </cell>
          <cell r="B771" t="str">
            <v>h2</v>
          </cell>
          <cell r="C771" t="str">
            <v>bus</v>
          </cell>
          <cell r="D771">
            <v>6061</v>
          </cell>
          <cell r="E771" t="str">
            <v xml:space="preserve">	</v>
          </cell>
          <cell r="F771">
            <v>7.93</v>
          </cell>
        </row>
        <row r="772">
          <cell r="A772" t="str">
            <v>h2-bus-6062</v>
          </cell>
          <cell r="B772" t="str">
            <v>h2</v>
          </cell>
          <cell r="C772" t="str">
            <v>bus</v>
          </cell>
          <cell r="D772">
            <v>6062</v>
          </cell>
          <cell r="E772" t="str">
            <v xml:space="preserve">	</v>
          </cell>
          <cell r="F772">
            <v>6.72</v>
          </cell>
        </row>
        <row r="773">
          <cell r="A773" t="str">
            <v>h2-bus-6071</v>
          </cell>
          <cell r="B773" t="str">
            <v>h2</v>
          </cell>
          <cell r="C773" t="str">
            <v>bus</v>
          </cell>
          <cell r="D773">
            <v>6071</v>
          </cell>
          <cell r="E773" t="str">
            <v xml:space="preserve">	</v>
          </cell>
          <cell r="F773">
            <v>9.17</v>
          </cell>
        </row>
        <row r="774">
          <cell r="A774" t="str">
            <v>h2-bus-6072</v>
          </cell>
          <cell r="B774" t="str">
            <v>h2</v>
          </cell>
          <cell r="C774" t="str">
            <v>bus</v>
          </cell>
          <cell r="D774">
            <v>6072</v>
          </cell>
          <cell r="E774" t="str">
            <v xml:space="preserve">	</v>
          </cell>
          <cell r="F774">
            <v>4.9400000000000004</v>
          </cell>
        </row>
        <row r="775">
          <cell r="A775" t="str">
            <v>h2-bus-6081</v>
          </cell>
          <cell r="B775" t="str">
            <v>h2</v>
          </cell>
          <cell r="C775" t="str">
            <v>bus</v>
          </cell>
          <cell r="D775">
            <v>6081</v>
          </cell>
          <cell r="E775" t="str">
            <v xml:space="preserve">	</v>
          </cell>
          <cell r="F775">
            <v>6.87</v>
          </cell>
        </row>
        <row r="776">
          <cell r="A776" t="str">
            <v>h2-bus-6082</v>
          </cell>
          <cell r="B776" t="str">
            <v>h2</v>
          </cell>
          <cell r="C776" t="str">
            <v>bus</v>
          </cell>
          <cell r="D776">
            <v>6082</v>
          </cell>
          <cell r="E776" t="str">
            <v xml:space="preserve">	</v>
          </cell>
          <cell r="F776">
            <v>3.09</v>
          </cell>
        </row>
        <row r="777">
          <cell r="A777" t="str">
            <v>h2-bus-6091</v>
          </cell>
          <cell r="B777" t="str">
            <v>h2</v>
          </cell>
          <cell r="C777" t="str">
            <v>bus</v>
          </cell>
          <cell r="D777">
            <v>6091</v>
          </cell>
          <cell r="E777" t="str">
            <v xml:space="preserve">	</v>
          </cell>
          <cell r="F777">
            <v>5.97</v>
          </cell>
        </row>
        <row r="778">
          <cell r="A778" t="str">
            <v>h2-bus-6092</v>
          </cell>
          <cell r="B778" t="str">
            <v>h2</v>
          </cell>
          <cell r="C778" t="str">
            <v>bus</v>
          </cell>
          <cell r="D778">
            <v>6092</v>
          </cell>
          <cell r="E778" t="str">
            <v xml:space="preserve">	</v>
          </cell>
          <cell r="F778">
            <v>5.64</v>
          </cell>
        </row>
        <row r="779">
          <cell r="A779" t="str">
            <v>h2-bus-6101</v>
          </cell>
          <cell r="B779" t="str">
            <v>h2</v>
          </cell>
          <cell r="C779" t="str">
            <v>bus</v>
          </cell>
          <cell r="D779">
            <v>6101</v>
          </cell>
          <cell r="E779" t="str">
            <v xml:space="preserve">	</v>
          </cell>
          <cell r="F779">
            <v>7.14</v>
          </cell>
        </row>
        <row r="780">
          <cell r="A780" t="str">
            <v>h2-bus-6102</v>
          </cell>
          <cell r="B780" t="str">
            <v>h2</v>
          </cell>
          <cell r="C780" t="str">
            <v>bus</v>
          </cell>
          <cell r="D780">
            <v>6102</v>
          </cell>
          <cell r="E780" t="str">
            <v xml:space="preserve">	</v>
          </cell>
          <cell r="F780">
            <v>2.77</v>
          </cell>
        </row>
        <row r="781">
          <cell r="A781" t="str">
            <v>h2-bus-6111</v>
          </cell>
          <cell r="B781" t="str">
            <v>h2</v>
          </cell>
          <cell r="C781" t="str">
            <v>bus</v>
          </cell>
          <cell r="D781">
            <v>6111</v>
          </cell>
          <cell r="E781" t="str">
            <v xml:space="preserve">	</v>
          </cell>
          <cell r="F781">
            <v>16.97</v>
          </cell>
        </row>
        <row r="782">
          <cell r="A782" t="str">
            <v>h2-bus-6112</v>
          </cell>
          <cell r="B782" t="str">
            <v>h2</v>
          </cell>
          <cell r="C782" t="str">
            <v>bus</v>
          </cell>
          <cell r="D782">
            <v>6112</v>
          </cell>
          <cell r="E782" t="str">
            <v xml:space="preserve">	</v>
          </cell>
          <cell r="F782">
            <v>10.220000000000001</v>
          </cell>
        </row>
        <row r="783">
          <cell r="A783" t="str">
            <v>h2-bus-6121</v>
          </cell>
          <cell r="B783" t="str">
            <v>h2</v>
          </cell>
          <cell r="C783" t="str">
            <v>bus</v>
          </cell>
          <cell r="D783">
            <v>6121</v>
          </cell>
          <cell r="E783" t="str">
            <v xml:space="preserve">	</v>
          </cell>
          <cell r="F783">
            <v>11.05</v>
          </cell>
        </row>
        <row r="784">
          <cell r="A784" t="str">
            <v>h2-bus-6122</v>
          </cell>
          <cell r="B784" t="str">
            <v>h2</v>
          </cell>
          <cell r="C784" t="str">
            <v>bus</v>
          </cell>
          <cell r="D784">
            <v>6122</v>
          </cell>
          <cell r="E784" t="str">
            <v xml:space="preserve">	</v>
          </cell>
          <cell r="F784">
            <v>13.81</v>
          </cell>
        </row>
        <row r="785">
          <cell r="A785" t="str">
            <v>h2-bus-7011</v>
          </cell>
          <cell r="B785" t="str">
            <v>h2</v>
          </cell>
          <cell r="C785" t="str">
            <v>bus</v>
          </cell>
          <cell r="D785">
            <v>7011</v>
          </cell>
          <cell r="E785" t="str">
            <v xml:space="preserve">	</v>
          </cell>
          <cell r="F785">
            <v>6.86</v>
          </cell>
        </row>
        <row r="786">
          <cell r="A786" t="str">
            <v>h2-bus-7012</v>
          </cell>
          <cell r="B786" t="str">
            <v>h2</v>
          </cell>
          <cell r="C786" t="str">
            <v>bus</v>
          </cell>
          <cell r="D786">
            <v>7012</v>
          </cell>
          <cell r="E786" t="str">
            <v xml:space="preserve">	</v>
          </cell>
          <cell r="F786">
            <v>8.82</v>
          </cell>
        </row>
        <row r="787">
          <cell r="A787" t="str">
            <v>h2-bus-7021</v>
          </cell>
          <cell r="B787" t="str">
            <v>h2</v>
          </cell>
          <cell r="C787" t="str">
            <v>bus</v>
          </cell>
          <cell r="D787">
            <v>7021</v>
          </cell>
          <cell r="E787" t="str">
            <v xml:space="preserve">	</v>
          </cell>
          <cell r="F787">
            <v>5.13</v>
          </cell>
        </row>
        <row r="788">
          <cell r="A788" t="str">
            <v>h2-bus-7022</v>
          </cell>
          <cell r="B788" t="str">
            <v>h2</v>
          </cell>
          <cell r="C788" t="str">
            <v>bus</v>
          </cell>
          <cell r="D788">
            <v>7022</v>
          </cell>
          <cell r="E788" t="str">
            <v xml:space="preserve">	</v>
          </cell>
          <cell r="F788">
            <v>9.3800000000000008</v>
          </cell>
        </row>
        <row r="789">
          <cell r="A789" t="str">
            <v>h2-bus-7031</v>
          </cell>
          <cell r="B789" t="str">
            <v>h2</v>
          </cell>
          <cell r="C789" t="str">
            <v>bus</v>
          </cell>
          <cell r="D789">
            <v>7031</v>
          </cell>
          <cell r="E789" t="str">
            <v xml:space="preserve">	</v>
          </cell>
          <cell r="F789">
            <v>5.37</v>
          </cell>
        </row>
        <row r="790">
          <cell r="A790" t="str">
            <v>h2-bus-7032</v>
          </cell>
          <cell r="B790" t="str">
            <v>h2</v>
          </cell>
          <cell r="C790" t="str">
            <v>bus</v>
          </cell>
          <cell r="D790">
            <v>7032</v>
          </cell>
          <cell r="E790" t="str">
            <v xml:space="preserve">	</v>
          </cell>
          <cell r="F790">
            <v>4.03</v>
          </cell>
        </row>
        <row r="791">
          <cell r="A791" t="str">
            <v>h2-bus-7041</v>
          </cell>
          <cell r="B791" t="str">
            <v>h2</v>
          </cell>
          <cell r="C791" t="str">
            <v>bus</v>
          </cell>
          <cell r="D791">
            <v>7041</v>
          </cell>
          <cell r="E791" t="str">
            <v xml:space="preserve">	</v>
          </cell>
          <cell r="F791">
            <v>8.43</v>
          </cell>
        </row>
        <row r="792">
          <cell r="A792" t="str">
            <v>h2-bus-7042</v>
          </cell>
          <cell r="B792" t="str">
            <v>h2</v>
          </cell>
          <cell r="C792" t="str">
            <v>bus</v>
          </cell>
          <cell r="D792">
            <v>7042</v>
          </cell>
          <cell r="E792" t="str">
            <v xml:space="preserve">	</v>
          </cell>
          <cell r="F792">
            <v>3.35</v>
          </cell>
        </row>
        <row r="793">
          <cell r="A793" t="str">
            <v>h2-bus-7051</v>
          </cell>
          <cell r="B793" t="str">
            <v>h2</v>
          </cell>
          <cell r="C793" t="str">
            <v>bus</v>
          </cell>
          <cell r="D793">
            <v>7051</v>
          </cell>
          <cell r="E793" t="str">
            <v xml:space="preserve">	</v>
          </cell>
          <cell r="F793">
            <v>5.09</v>
          </cell>
        </row>
        <row r="794">
          <cell r="A794" t="str">
            <v>h2-bus-7052</v>
          </cell>
          <cell r="B794" t="str">
            <v>h2</v>
          </cell>
          <cell r="C794" t="str">
            <v>bus</v>
          </cell>
          <cell r="D794">
            <v>7052</v>
          </cell>
          <cell r="E794" t="str">
            <v xml:space="preserve">	</v>
          </cell>
          <cell r="F794">
            <v>6.89</v>
          </cell>
        </row>
        <row r="795">
          <cell r="A795" t="str">
            <v>h2-bus-7061</v>
          </cell>
          <cell r="B795" t="str">
            <v>h2</v>
          </cell>
          <cell r="C795" t="str">
            <v>bus</v>
          </cell>
          <cell r="D795">
            <v>7061</v>
          </cell>
          <cell r="E795" t="str">
            <v xml:space="preserve">	</v>
          </cell>
          <cell r="F795">
            <v>6.95</v>
          </cell>
        </row>
        <row r="796">
          <cell r="A796" t="str">
            <v>h2-bus-7062</v>
          </cell>
          <cell r="B796" t="str">
            <v>h2</v>
          </cell>
          <cell r="C796" t="str">
            <v>bus</v>
          </cell>
          <cell r="D796">
            <v>7062</v>
          </cell>
          <cell r="E796" t="str">
            <v xml:space="preserve">	</v>
          </cell>
          <cell r="F796">
            <v>4.37</v>
          </cell>
        </row>
        <row r="797">
          <cell r="A797" t="str">
            <v>h2-bus-7071</v>
          </cell>
          <cell r="B797" t="str">
            <v>h2</v>
          </cell>
          <cell r="C797" t="str">
            <v>bus</v>
          </cell>
          <cell r="D797">
            <v>7071</v>
          </cell>
          <cell r="E797" t="str">
            <v xml:space="preserve">	</v>
          </cell>
          <cell r="F797">
            <v>2.12</v>
          </cell>
        </row>
        <row r="798">
          <cell r="A798" t="str">
            <v>h2-bus-7072</v>
          </cell>
          <cell r="B798" t="str">
            <v>h2</v>
          </cell>
          <cell r="C798" t="str">
            <v>bus</v>
          </cell>
          <cell r="D798">
            <v>7072</v>
          </cell>
          <cell r="E798" t="str">
            <v xml:space="preserve">	</v>
          </cell>
          <cell r="F798">
            <v>2.4900000000000002</v>
          </cell>
        </row>
        <row r="799">
          <cell r="A799" t="str">
            <v>h2-bus-7081</v>
          </cell>
          <cell r="B799" t="str">
            <v>h2</v>
          </cell>
          <cell r="C799" t="str">
            <v>bus</v>
          </cell>
          <cell r="D799">
            <v>7081</v>
          </cell>
          <cell r="E799" t="str">
            <v xml:space="preserve">	</v>
          </cell>
          <cell r="F799">
            <v>3.7</v>
          </cell>
        </row>
        <row r="800">
          <cell r="A800" t="str">
            <v>h2-bus-7082</v>
          </cell>
          <cell r="B800" t="str">
            <v>h2</v>
          </cell>
          <cell r="C800" t="str">
            <v>bus</v>
          </cell>
          <cell r="D800">
            <v>7082</v>
          </cell>
          <cell r="E800" t="str">
            <v xml:space="preserve">	</v>
          </cell>
          <cell r="F800">
            <v>1.81</v>
          </cell>
        </row>
        <row r="801">
          <cell r="A801" t="str">
            <v>h2-bus-9011</v>
          </cell>
          <cell r="B801" t="str">
            <v>h2</v>
          </cell>
          <cell r="C801" t="str">
            <v>bus</v>
          </cell>
          <cell r="D801">
            <v>9011</v>
          </cell>
          <cell r="E801" t="str">
            <v xml:space="preserve">	</v>
          </cell>
          <cell r="F801">
            <v>11.48</v>
          </cell>
        </row>
        <row r="802">
          <cell r="A802" t="str">
            <v>h2-bus-9012</v>
          </cell>
          <cell r="B802" t="str">
            <v>h2</v>
          </cell>
          <cell r="C802" t="str">
            <v>bus</v>
          </cell>
          <cell r="D802">
            <v>9012</v>
          </cell>
          <cell r="E802" t="str">
            <v xml:space="preserve">	</v>
          </cell>
          <cell r="F802">
            <v>14.22</v>
          </cell>
        </row>
        <row r="803">
          <cell r="A803" t="str">
            <v>h2-bus-9021</v>
          </cell>
          <cell r="B803" t="str">
            <v>h2</v>
          </cell>
          <cell r="C803" t="str">
            <v>bus</v>
          </cell>
          <cell r="D803">
            <v>9021</v>
          </cell>
          <cell r="E803" t="str">
            <v xml:space="preserve">	</v>
          </cell>
          <cell r="F803">
            <v>5.17</v>
          </cell>
        </row>
        <row r="804">
          <cell r="A804" t="str">
            <v>h2-bus-9022</v>
          </cell>
          <cell r="B804" t="str">
            <v>h2</v>
          </cell>
          <cell r="C804" t="str">
            <v>bus</v>
          </cell>
          <cell r="D804">
            <v>9022</v>
          </cell>
          <cell r="E804" t="str">
            <v xml:space="preserve">	</v>
          </cell>
          <cell r="F804">
            <v>4.7</v>
          </cell>
        </row>
        <row r="805">
          <cell r="A805" t="str">
            <v>h2-bus-11</v>
          </cell>
          <cell r="B805" t="str">
            <v>h2</v>
          </cell>
          <cell r="C805" t="str">
            <v>bus</v>
          </cell>
          <cell r="D805">
            <v>11</v>
          </cell>
          <cell r="E805" t="str">
            <v xml:space="preserve">	</v>
          </cell>
          <cell r="F805">
            <v>4.8499999999999996</v>
          </cell>
        </row>
        <row r="806">
          <cell r="A806" t="str">
            <v>h2-bus-12</v>
          </cell>
          <cell r="B806" t="str">
            <v>h2</v>
          </cell>
          <cell r="C806" t="str">
            <v>bus</v>
          </cell>
          <cell r="D806">
            <v>12</v>
          </cell>
          <cell r="E806" t="str">
            <v xml:space="preserve">	</v>
          </cell>
          <cell r="F806">
            <v>6.85</v>
          </cell>
        </row>
        <row r="807">
          <cell r="A807" t="str">
            <v>h2-bus-21</v>
          </cell>
          <cell r="B807" t="str">
            <v>h2</v>
          </cell>
          <cell r="C807" t="str">
            <v>bus</v>
          </cell>
          <cell r="D807">
            <v>21</v>
          </cell>
          <cell r="E807" t="str">
            <v xml:space="preserve">	</v>
          </cell>
          <cell r="F807">
            <v>7.07</v>
          </cell>
        </row>
        <row r="808">
          <cell r="A808" t="str">
            <v>h2-bus-22</v>
          </cell>
          <cell r="B808" t="str">
            <v>h2</v>
          </cell>
          <cell r="C808" t="str">
            <v>bus</v>
          </cell>
          <cell r="D808">
            <v>22</v>
          </cell>
          <cell r="E808" t="str">
            <v xml:space="preserve">	</v>
          </cell>
          <cell r="F808">
            <v>6.38</v>
          </cell>
        </row>
        <row r="809">
          <cell r="A809" t="str">
            <v>h2-bus-8021</v>
          </cell>
          <cell r="B809" t="str">
            <v>h2</v>
          </cell>
          <cell r="C809" t="str">
            <v>bus</v>
          </cell>
          <cell r="D809">
            <v>8021</v>
          </cell>
          <cell r="E809" t="str">
            <v xml:space="preserve">	</v>
          </cell>
          <cell r="F809">
            <v>3.53</v>
          </cell>
        </row>
        <row r="810">
          <cell r="A810" t="str">
            <v>h2-bus-8022</v>
          </cell>
          <cell r="B810" t="str">
            <v>h2</v>
          </cell>
          <cell r="C810" t="str">
            <v>bus</v>
          </cell>
          <cell r="D810">
            <v>8022</v>
          </cell>
          <cell r="E810" t="str">
            <v xml:space="preserve">	</v>
          </cell>
          <cell r="F810">
            <v>2.4500000000000002</v>
          </cell>
        </row>
        <row r="811">
          <cell r="A811" t="str">
            <v>h2-bus-101</v>
          </cell>
          <cell r="B811" t="str">
            <v>h2</v>
          </cell>
          <cell r="C811" t="str">
            <v>bus</v>
          </cell>
          <cell r="D811">
            <v>101</v>
          </cell>
          <cell r="E811" t="str">
            <v xml:space="preserve">	</v>
          </cell>
          <cell r="F811">
            <v>0.09</v>
          </cell>
        </row>
        <row r="812">
          <cell r="A812" t="str">
            <v>h2-bus-102</v>
          </cell>
          <cell r="B812" t="str">
            <v>h2</v>
          </cell>
          <cell r="C812" t="str">
            <v>bus</v>
          </cell>
          <cell r="D812">
            <v>102</v>
          </cell>
          <cell r="E812" t="str">
            <v xml:space="preserve">	</v>
          </cell>
          <cell r="F812">
            <v>0.09</v>
          </cell>
        </row>
        <row r="813">
          <cell r="A813" t="str">
            <v>h2-bus-201</v>
          </cell>
          <cell r="B813" t="str">
            <v>h2</v>
          </cell>
          <cell r="C813" t="str">
            <v>bus</v>
          </cell>
          <cell r="D813">
            <v>201</v>
          </cell>
          <cell r="E813" t="str">
            <v xml:space="preserve">	</v>
          </cell>
          <cell r="F813">
            <v>0.12</v>
          </cell>
        </row>
        <row r="814">
          <cell r="A814" t="str">
            <v>h2-bus-202</v>
          </cell>
          <cell r="B814" t="str">
            <v>h2</v>
          </cell>
          <cell r="C814" t="str">
            <v>bus</v>
          </cell>
          <cell r="D814">
            <v>202</v>
          </cell>
          <cell r="E814" t="str">
            <v xml:space="preserve">	</v>
          </cell>
          <cell r="F814">
            <v>0.12</v>
          </cell>
        </row>
        <row r="815">
          <cell r="A815" t="str">
            <v>h2-bus-301</v>
          </cell>
          <cell r="B815" t="str">
            <v>h2</v>
          </cell>
          <cell r="C815" t="str">
            <v>bus</v>
          </cell>
          <cell r="D815">
            <v>301</v>
          </cell>
          <cell r="E815" t="str">
            <v xml:space="preserve">	</v>
          </cell>
          <cell r="F815">
            <v>0.08</v>
          </cell>
        </row>
        <row r="816">
          <cell r="A816" t="str">
            <v>h2-bus-302</v>
          </cell>
          <cell r="B816" t="str">
            <v>h2</v>
          </cell>
          <cell r="C816" t="str">
            <v>bus</v>
          </cell>
          <cell r="D816">
            <v>302</v>
          </cell>
          <cell r="E816" t="str">
            <v xml:space="preserve">	</v>
          </cell>
          <cell r="F816">
            <v>0.08</v>
          </cell>
        </row>
        <row r="817">
          <cell r="A817" t="str">
            <v>h2-bus-401</v>
          </cell>
          <cell r="B817" t="str">
            <v>h2</v>
          </cell>
          <cell r="C817" t="str">
            <v>bus</v>
          </cell>
          <cell r="D817">
            <v>401</v>
          </cell>
          <cell r="E817" t="str">
            <v xml:space="preserve">	</v>
          </cell>
          <cell r="F817">
            <v>0.12</v>
          </cell>
        </row>
        <row r="818">
          <cell r="A818" t="str">
            <v>h2-bus-402</v>
          </cell>
          <cell r="B818" t="str">
            <v>h2</v>
          </cell>
          <cell r="C818" t="str">
            <v>bus</v>
          </cell>
          <cell r="D818">
            <v>402</v>
          </cell>
          <cell r="E818" t="str">
            <v xml:space="preserve">	</v>
          </cell>
          <cell r="F818">
            <v>0.12</v>
          </cell>
        </row>
        <row r="819">
          <cell r="A819" t="str">
            <v>h2-bus-501</v>
          </cell>
          <cell r="B819" t="str">
            <v>h2</v>
          </cell>
          <cell r="C819" t="str">
            <v>bus</v>
          </cell>
          <cell r="D819">
            <v>501</v>
          </cell>
          <cell r="E819" t="str">
            <v xml:space="preserve">	</v>
          </cell>
          <cell r="F819">
            <v>0.16</v>
          </cell>
        </row>
        <row r="820">
          <cell r="A820" t="str">
            <v>h2-bus-502</v>
          </cell>
          <cell r="B820" t="str">
            <v>h2</v>
          </cell>
          <cell r="C820" t="str">
            <v>bus</v>
          </cell>
          <cell r="D820">
            <v>502</v>
          </cell>
          <cell r="E820" t="str">
            <v xml:space="preserve">	</v>
          </cell>
          <cell r="F820">
            <v>0.16</v>
          </cell>
        </row>
        <row r="821">
          <cell r="A821" t="str">
            <v>h2-bus-601</v>
          </cell>
          <cell r="B821" t="str">
            <v>h2</v>
          </cell>
          <cell r="C821" t="str">
            <v>bus</v>
          </cell>
          <cell r="D821">
            <v>601</v>
          </cell>
          <cell r="E821" t="str">
            <v xml:space="preserve">	</v>
          </cell>
          <cell r="F821">
            <v>0.17</v>
          </cell>
        </row>
        <row r="822">
          <cell r="A822" t="str">
            <v>h2-bus-602</v>
          </cell>
          <cell r="B822" t="str">
            <v>h2</v>
          </cell>
          <cell r="C822" t="str">
            <v>bus</v>
          </cell>
          <cell r="D822">
            <v>602</v>
          </cell>
          <cell r="E822" t="str">
            <v xml:space="preserve">	</v>
          </cell>
          <cell r="F822">
            <v>0.17</v>
          </cell>
        </row>
        <row r="823">
          <cell r="A823" t="str">
            <v>h2-bus-701</v>
          </cell>
          <cell r="B823" t="str">
            <v>h2</v>
          </cell>
          <cell r="C823" t="str">
            <v>bus</v>
          </cell>
          <cell r="D823">
            <v>701</v>
          </cell>
          <cell r="E823" t="str">
            <v xml:space="preserve">	</v>
          </cell>
          <cell r="F823">
            <v>7.0000000000000007E-2</v>
          </cell>
        </row>
        <row r="824">
          <cell r="A824" t="str">
            <v>h2-bus-702</v>
          </cell>
          <cell r="B824" t="str">
            <v>h2</v>
          </cell>
          <cell r="C824" t="str">
            <v>bus</v>
          </cell>
          <cell r="D824">
            <v>702</v>
          </cell>
          <cell r="E824" t="str">
            <v xml:space="preserve">	</v>
          </cell>
          <cell r="F824">
            <v>7.0000000000000007E-2</v>
          </cell>
        </row>
        <row r="825">
          <cell r="A825" t="str">
            <v>h2-bus-801</v>
          </cell>
          <cell r="B825" t="str">
            <v>h2</v>
          </cell>
          <cell r="C825" t="str">
            <v>bus</v>
          </cell>
          <cell r="D825">
            <v>801</v>
          </cell>
          <cell r="E825" t="str">
            <v xml:space="preserve">	</v>
          </cell>
          <cell r="F825">
            <v>0.09</v>
          </cell>
        </row>
        <row r="826">
          <cell r="A826" t="str">
            <v>h2-bus-802</v>
          </cell>
          <cell r="B826" t="str">
            <v>h2</v>
          </cell>
          <cell r="C826" t="str">
            <v>bus</v>
          </cell>
          <cell r="D826">
            <v>802</v>
          </cell>
          <cell r="E826" t="str">
            <v xml:space="preserve">	</v>
          </cell>
          <cell r="F826">
            <v>0.09</v>
          </cell>
        </row>
        <row r="827">
          <cell r="A827" t="str">
            <v>h2-mer-MODO:</v>
          </cell>
          <cell r="B827" t="str">
            <v>h2</v>
          </cell>
          <cell r="C827" t="str">
            <v>mer</v>
          </cell>
          <cell r="D827" t="str">
            <v>MODO:</v>
          </cell>
          <cell r="F827" t="str">
            <v>mer</v>
          </cell>
        </row>
        <row r="828">
          <cell r="A828" t="str">
            <v>h2-mer-LINEA</v>
          </cell>
          <cell r="B828" t="str">
            <v>h2</v>
          </cell>
          <cell r="C828" t="str">
            <v>mer</v>
          </cell>
          <cell r="D828" t="str">
            <v>LINEA</v>
          </cell>
          <cell r="E828" t="str">
            <v xml:space="preserve">	</v>
          </cell>
          <cell r="F828" t="str">
            <v>FLOTA</v>
          </cell>
        </row>
        <row r="829">
          <cell r="A829" t="str">
            <v>h2-mer-80001</v>
          </cell>
          <cell r="B829" t="str">
            <v>h2</v>
          </cell>
          <cell r="C829" t="str">
            <v>mer</v>
          </cell>
          <cell r="D829">
            <v>80001</v>
          </cell>
          <cell r="E829" t="str">
            <v xml:space="preserve">	</v>
          </cell>
          <cell r="F829">
            <v>3.64</v>
          </cell>
        </row>
        <row r="830">
          <cell r="A830" t="str">
            <v>h2-mer-80002</v>
          </cell>
          <cell r="B830" t="str">
            <v>h2</v>
          </cell>
          <cell r="C830" t="str">
            <v>mer</v>
          </cell>
          <cell r="D830">
            <v>80002</v>
          </cell>
          <cell r="E830" t="str">
            <v xml:space="preserve">	</v>
          </cell>
          <cell r="F830">
            <v>3.64</v>
          </cell>
        </row>
        <row r="831">
          <cell r="A831" t="str">
            <v>h2-mer-81001</v>
          </cell>
          <cell r="B831" t="str">
            <v>h2</v>
          </cell>
          <cell r="C831" t="str">
            <v>mer</v>
          </cell>
          <cell r="D831">
            <v>81001</v>
          </cell>
          <cell r="E831" t="str">
            <v xml:space="preserve">	</v>
          </cell>
          <cell r="F831">
            <v>5.64</v>
          </cell>
        </row>
        <row r="832">
          <cell r="A832" t="str">
            <v>h2-mer-81002</v>
          </cell>
          <cell r="B832" t="str">
            <v>h2</v>
          </cell>
          <cell r="C832" t="str">
            <v>mer</v>
          </cell>
          <cell r="D832">
            <v>81002</v>
          </cell>
          <cell r="E832" t="str">
            <v xml:space="preserve">	</v>
          </cell>
          <cell r="F832">
            <v>5.64</v>
          </cell>
        </row>
        <row r="833">
          <cell r="A833" t="str">
            <v>h2-txc-MODO:</v>
          </cell>
          <cell r="B833" t="str">
            <v>h2</v>
          </cell>
          <cell r="C833" t="str">
            <v>txc</v>
          </cell>
          <cell r="D833" t="str">
            <v>MODO:</v>
          </cell>
          <cell r="F833" t="str">
            <v>txc</v>
          </cell>
        </row>
        <row r="834">
          <cell r="A834" t="str">
            <v>h2-txc-LINEA</v>
          </cell>
          <cell r="B834" t="str">
            <v>h2</v>
          </cell>
          <cell r="C834" t="str">
            <v>txc</v>
          </cell>
          <cell r="D834" t="str">
            <v>LINEA</v>
          </cell>
          <cell r="E834" t="str">
            <v xml:space="preserve">	</v>
          </cell>
          <cell r="F834" t="str">
            <v>FLOTA</v>
          </cell>
        </row>
        <row r="835">
          <cell r="A835" t="str">
            <v>h2-txc-101</v>
          </cell>
          <cell r="B835" t="str">
            <v>h2</v>
          </cell>
          <cell r="C835" t="str">
            <v>txc</v>
          </cell>
          <cell r="D835">
            <v>101</v>
          </cell>
          <cell r="E835" t="str">
            <v xml:space="preserve">	</v>
          </cell>
          <cell r="F835">
            <v>19.14</v>
          </cell>
        </row>
        <row r="836">
          <cell r="A836" t="str">
            <v>h2-txc-102</v>
          </cell>
          <cell r="B836" t="str">
            <v>h2</v>
          </cell>
          <cell r="C836" t="str">
            <v>txc</v>
          </cell>
          <cell r="D836">
            <v>102</v>
          </cell>
          <cell r="E836" t="str">
            <v xml:space="preserve">	</v>
          </cell>
          <cell r="F836">
            <v>1.05</v>
          </cell>
        </row>
        <row r="837">
          <cell r="A837" t="str">
            <v>h2-txc-1011</v>
          </cell>
          <cell r="B837" t="str">
            <v>h2</v>
          </cell>
          <cell r="C837" t="str">
            <v>txc</v>
          </cell>
          <cell r="D837">
            <v>1011</v>
          </cell>
          <cell r="E837" t="str">
            <v xml:space="preserve">	</v>
          </cell>
          <cell r="F837">
            <v>1.1499999999999999</v>
          </cell>
        </row>
        <row r="838">
          <cell r="A838" t="str">
            <v>h2-txc-1012</v>
          </cell>
          <cell r="B838" t="str">
            <v>h2</v>
          </cell>
          <cell r="C838" t="str">
            <v>txc</v>
          </cell>
          <cell r="D838">
            <v>1012</v>
          </cell>
          <cell r="E838" t="str">
            <v xml:space="preserve">	</v>
          </cell>
          <cell r="F838">
            <v>0.12</v>
          </cell>
        </row>
        <row r="839">
          <cell r="A839" t="str">
            <v>h2-txc-1001</v>
          </cell>
          <cell r="B839" t="str">
            <v>h2</v>
          </cell>
          <cell r="C839" t="str">
            <v>txc</v>
          </cell>
          <cell r="D839">
            <v>1001</v>
          </cell>
          <cell r="E839" t="str">
            <v xml:space="preserve">	</v>
          </cell>
          <cell r="F839">
            <v>1.19</v>
          </cell>
        </row>
        <row r="840">
          <cell r="A840" t="str">
            <v>h2-txc-1002</v>
          </cell>
          <cell r="B840" t="str">
            <v>h2</v>
          </cell>
          <cell r="C840" t="str">
            <v>txc</v>
          </cell>
          <cell r="D840">
            <v>1002</v>
          </cell>
          <cell r="E840" t="str">
            <v xml:space="preserve">	</v>
          </cell>
          <cell r="F840">
            <v>2.91</v>
          </cell>
        </row>
        <row r="841">
          <cell r="A841" t="str">
            <v>h2-txc-1021</v>
          </cell>
          <cell r="B841" t="str">
            <v>h2</v>
          </cell>
          <cell r="C841" t="str">
            <v>txc</v>
          </cell>
          <cell r="D841">
            <v>1021</v>
          </cell>
          <cell r="E841" t="str">
            <v xml:space="preserve">	</v>
          </cell>
          <cell r="F841">
            <v>0.47</v>
          </cell>
        </row>
        <row r="842">
          <cell r="A842" t="str">
            <v>h2-txc-1022</v>
          </cell>
          <cell r="B842" t="str">
            <v>h2</v>
          </cell>
          <cell r="C842" t="str">
            <v>txc</v>
          </cell>
          <cell r="D842">
            <v>1022</v>
          </cell>
          <cell r="E842" t="str">
            <v xml:space="preserve">	</v>
          </cell>
          <cell r="F842">
            <v>1.04</v>
          </cell>
        </row>
        <row r="843">
          <cell r="A843" t="str">
            <v>h2-txc-10001</v>
          </cell>
          <cell r="B843" t="str">
            <v>h2</v>
          </cell>
          <cell r="C843" t="str">
            <v>txc</v>
          </cell>
          <cell r="D843">
            <v>10001</v>
          </cell>
          <cell r="E843" t="str">
            <v xml:space="preserve">	</v>
          </cell>
          <cell r="F843">
            <v>4.1900000000000004</v>
          </cell>
        </row>
        <row r="844">
          <cell r="A844" t="str">
            <v>h2-txc-10002</v>
          </cell>
          <cell r="B844" t="str">
            <v>h2</v>
          </cell>
          <cell r="C844" t="str">
            <v>txc</v>
          </cell>
          <cell r="D844">
            <v>10002</v>
          </cell>
          <cell r="E844" t="str">
            <v xml:space="preserve">	</v>
          </cell>
          <cell r="F844">
            <v>0.5</v>
          </cell>
        </row>
        <row r="845">
          <cell r="A845" t="str">
            <v>h2-txc-10011</v>
          </cell>
          <cell r="B845" t="str">
            <v>h2</v>
          </cell>
          <cell r="C845" t="str">
            <v>txc</v>
          </cell>
          <cell r="D845">
            <v>10011</v>
          </cell>
          <cell r="E845" t="str">
            <v xml:space="preserve">	</v>
          </cell>
          <cell r="F845">
            <v>0.42</v>
          </cell>
        </row>
        <row r="846">
          <cell r="A846" t="str">
            <v>h2-txc-10012</v>
          </cell>
          <cell r="B846" t="str">
            <v>h2</v>
          </cell>
          <cell r="C846" t="str">
            <v>txc</v>
          </cell>
          <cell r="D846">
            <v>10012</v>
          </cell>
          <cell r="E846" t="str">
            <v xml:space="preserve">	</v>
          </cell>
          <cell r="F846">
            <v>14.22</v>
          </cell>
        </row>
        <row r="847">
          <cell r="A847" t="str">
            <v>h2-txc-10211</v>
          </cell>
          <cell r="B847" t="str">
            <v>h2</v>
          </cell>
          <cell r="C847" t="str">
            <v>txc</v>
          </cell>
          <cell r="D847">
            <v>10211</v>
          </cell>
          <cell r="E847" t="str">
            <v xml:space="preserve">	</v>
          </cell>
          <cell r="F847">
            <v>1.49</v>
          </cell>
        </row>
        <row r="848">
          <cell r="A848" t="str">
            <v>h2-txc-10212</v>
          </cell>
          <cell r="B848" t="str">
            <v>h2</v>
          </cell>
          <cell r="C848" t="str">
            <v>txc</v>
          </cell>
          <cell r="D848">
            <v>10212</v>
          </cell>
          <cell r="E848" t="str">
            <v xml:space="preserve">	</v>
          </cell>
          <cell r="F848">
            <v>1.03</v>
          </cell>
        </row>
        <row r="849">
          <cell r="A849" t="str">
            <v>h2-txc-10201</v>
          </cell>
          <cell r="B849" t="str">
            <v>h2</v>
          </cell>
          <cell r="C849" t="str">
            <v>txc</v>
          </cell>
          <cell r="D849">
            <v>10201</v>
          </cell>
          <cell r="E849" t="str">
            <v xml:space="preserve">	</v>
          </cell>
          <cell r="F849">
            <v>0.86</v>
          </cell>
        </row>
        <row r="850">
          <cell r="A850" t="str">
            <v>h2-txc-10202</v>
          </cell>
          <cell r="B850" t="str">
            <v>h2</v>
          </cell>
          <cell r="C850" t="str">
            <v>txc</v>
          </cell>
          <cell r="D850">
            <v>10202</v>
          </cell>
          <cell r="E850" t="str">
            <v xml:space="preserve">	</v>
          </cell>
          <cell r="F850">
            <v>1.18</v>
          </cell>
        </row>
        <row r="851">
          <cell r="A851" t="str">
            <v>h2-txc-10501</v>
          </cell>
          <cell r="B851" t="str">
            <v>h2</v>
          </cell>
          <cell r="C851" t="str">
            <v>txc</v>
          </cell>
          <cell r="D851">
            <v>10501</v>
          </cell>
          <cell r="E851" t="str">
            <v xml:space="preserve">	</v>
          </cell>
          <cell r="F851">
            <v>3.81</v>
          </cell>
        </row>
        <row r="852">
          <cell r="A852" t="str">
            <v>h2-txc-10502</v>
          </cell>
          <cell r="B852" t="str">
            <v>h2</v>
          </cell>
          <cell r="C852" t="str">
            <v>txc</v>
          </cell>
          <cell r="D852">
            <v>10502</v>
          </cell>
          <cell r="E852" t="str">
            <v xml:space="preserve">	</v>
          </cell>
          <cell r="F852">
            <v>0.55000000000000004</v>
          </cell>
        </row>
        <row r="853">
          <cell r="A853" t="str">
            <v>h2-txc-10611</v>
          </cell>
          <cell r="B853" t="str">
            <v>h2</v>
          </cell>
          <cell r="C853" t="str">
            <v>txc</v>
          </cell>
          <cell r="D853">
            <v>10611</v>
          </cell>
          <cell r="E853" t="str">
            <v xml:space="preserve">	</v>
          </cell>
          <cell r="F853">
            <v>2.75</v>
          </cell>
        </row>
        <row r="854">
          <cell r="A854" t="str">
            <v>h2-txc-10612</v>
          </cell>
          <cell r="B854" t="str">
            <v>h2</v>
          </cell>
          <cell r="C854" t="str">
            <v>txc</v>
          </cell>
          <cell r="D854">
            <v>10612</v>
          </cell>
          <cell r="E854" t="str">
            <v xml:space="preserve">	</v>
          </cell>
          <cell r="F854">
            <v>0.13</v>
          </cell>
        </row>
        <row r="855">
          <cell r="A855" t="str">
            <v>h2-txc-10601</v>
          </cell>
          <cell r="B855" t="str">
            <v>h2</v>
          </cell>
          <cell r="C855" t="str">
            <v>txc</v>
          </cell>
          <cell r="D855">
            <v>10601</v>
          </cell>
          <cell r="E855" t="str">
            <v xml:space="preserve">	</v>
          </cell>
          <cell r="F855">
            <v>20.65</v>
          </cell>
        </row>
        <row r="856">
          <cell r="A856" t="str">
            <v>h2-txc-10602</v>
          </cell>
          <cell r="B856" t="str">
            <v>h2</v>
          </cell>
          <cell r="C856" t="str">
            <v>txc</v>
          </cell>
          <cell r="D856">
            <v>10602</v>
          </cell>
          <cell r="E856" t="str">
            <v xml:space="preserve">	</v>
          </cell>
          <cell r="F856">
            <v>0.77</v>
          </cell>
        </row>
        <row r="857">
          <cell r="A857" t="str">
            <v>h2-txc-10701</v>
          </cell>
          <cell r="B857" t="str">
            <v>h2</v>
          </cell>
          <cell r="C857" t="str">
            <v>txc</v>
          </cell>
          <cell r="D857">
            <v>10701</v>
          </cell>
          <cell r="E857" t="str">
            <v xml:space="preserve">	</v>
          </cell>
          <cell r="F857">
            <v>0.35</v>
          </cell>
        </row>
        <row r="858">
          <cell r="A858" t="str">
            <v>h2-txc-10702</v>
          </cell>
          <cell r="B858" t="str">
            <v>h2</v>
          </cell>
          <cell r="C858" t="str">
            <v>txc</v>
          </cell>
          <cell r="D858">
            <v>10702</v>
          </cell>
          <cell r="E858" t="str">
            <v xml:space="preserve">	</v>
          </cell>
          <cell r="F858">
            <v>16.690000000000001</v>
          </cell>
        </row>
        <row r="859">
          <cell r="A859" t="str">
            <v>h2-txc-11601</v>
          </cell>
          <cell r="B859" t="str">
            <v>h2</v>
          </cell>
          <cell r="C859" t="str">
            <v>txc</v>
          </cell>
          <cell r="D859">
            <v>11601</v>
          </cell>
          <cell r="E859" t="str">
            <v xml:space="preserve">	</v>
          </cell>
          <cell r="F859">
            <v>0.38</v>
          </cell>
        </row>
        <row r="860">
          <cell r="A860" t="str">
            <v>h2-txc-11602</v>
          </cell>
          <cell r="B860" t="str">
            <v>h2</v>
          </cell>
          <cell r="C860" t="str">
            <v>txc</v>
          </cell>
          <cell r="D860">
            <v>11602</v>
          </cell>
          <cell r="E860" t="str">
            <v xml:space="preserve">	</v>
          </cell>
          <cell r="F860">
            <v>0.53</v>
          </cell>
        </row>
        <row r="861">
          <cell r="A861" t="str">
            <v>h2-txc-11801</v>
          </cell>
          <cell r="B861" t="str">
            <v>h2</v>
          </cell>
          <cell r="C861" t="str">
            <v>txc</v>
          </cell>
          <cell r="D861">
            <v>11801</v>
          </cell>
          <cell r="E861" t="str">
            <v xml:space="preserve">	</v>
          </cell>
          <cell r="F861">
            <v>0.57999999999999996</v>
          </cell>
        </row>
        <row r="862">
          <cell r="A862" t="str">
            <v>h2-txc-11802</v>
          </cell>
          <cell r="B862" t="str">
            <v>h2</v>
          </cell>
          <cell r="C862" t="str">
            <v>txc</v>
          </cell>
          <cell r="D862">
            <v>11802</v>
          </cell>
          <cell r="E862" t="str">
            <v xml:space="preserve">	</v>
          </cell>
          <cell r="F862">
            <v>0.41</v>
          </cell>
        </row>
        <row r="863">
          <cell r="A863" t="str">
            <v>h2-txc-11901</v>
          </cell>
          <cell r="B863" t="str">
            <v>h2</v>
          </cell>
          <cell r="C863" t="str">
            <v>txc</v>
          </cell>
          <cell r="D863">
            <v>11901</v>
          </cell>
          <cell r="E863" t="str">
            <v xml:space="preserve">	</v>
          </cell>
          <cell r="F863">
            <v>0.63</v>
          </cell>
        </row>
        <row r="864">
          <cell r="A864" t="str">
            <v>h2-txc-11902</v>
          </cell>
          <cell r="B864" t="str">
            <v>h2</v>
          </cell>
          <cell r="C864" t="str">
            <v>txc</v>
          </cell>
          <cell r="D864">
            <v>11902</v>
          </cell>
          <cell r="E864" t="str">
            <v xml:space="preserve">	</v>
          </cell>
          <cell r="F864">
            <v>0.55000000000000004</v>
          </cell>
        </row>
        <row r="865">
          <cell r="A865" t="str">
            <v>h2-txc-1201</v>
          </cell>
          <cell r="B865" t="str">
            <v>h2</v>
          </cell>
          <cell r="C865" t="str">
            <v>txc</v>
          </cell>
          <cell r="D865">
            <v>1201</v>
          </cell>
          <cell r="E865" t="str">
            <v xml:space="preserve">	</v>
          </cell>
          <cell r="F865">
            <v>0.33</v>
          </cell>
        </row>
        <row r="866">
          <cell r="A866" t="str">
            <v>h2-txc-1202</v>
          </cell>
          <cell r="B866" t="str">
            <v>h2</v>
          </cell>
          <cell r="C866" t="str">
            <v>txc</v>
          </cell>
          <cell r="D866">
            <v>1202</v>
          </cell>
          <cell r="E866" t="str">
            <v xml:space="preserve">	</v>
          </cell>
          <cell r="F866">
            <v>2.95</v>
          </cell>
        </row>
        <row r="867">
          <cell r="A867" t="str">
            <v>h2-txc-12001</v>
          </cell>
          <cell r="B867" t="str">
            <v>h2</v>
          </cell>
          <cell r="C867" t="str">
            <v>txc</v>
          </cell>
          <cell r="D867">
            <v>12001</v>
          </cell>
          <cell r="E867" t="str">
            <v xml:space="preserve">	</v>
          </cell>
          <cell r="F867">
            <v>7.38</v>
          </cell>
        </row>
        <row r="868">
          <cell r="A868" t="str">
            <v>h2-txc-12002</v>
          </cell>
          <cell r="B868" t="str">
            <v>h2</v>
          </cell>
          <cell r="C868" t="str">
            <v>txc</v>
          </cell>
          <cell r="D868">
            <v>12002</v>
          </cell>
          <cell r="E868" t="str">
            <v xml:space="preserve">	</v>
          </cell>
          <cell r="F868">
            <v>0.49</v>
          </cell>
        </row>
        <row r="869">
          <cell r="A869" t="str">
            <v>h2-txc-12011</v>
          </cell>
          <cell r="B869" t="str">
            <v>h2</v>
          </cell>
          <cell r="C869" t="str">
            <v>txc</v>
          </cell>
          <cell r="D869">
            <v>12011</v>
          </cell>
          <cell r="E869" t="str">
            <v xml:space="preserve">	</v>
          </cell>
          <cell r="F869">
            <v>1.5</v>
          </cell>
        </row>
        <row r="870">
          <cell r="A870" t="str">
            <v>h2-txc-12012</v>
          </cell>
          <cell r="B870" t="str">
            <v>h2</v>
          </cell>
          <cell r="C870" t="str">
            <v>txc</v>
          </cell>
          <cell r="D870">
            <v>12012</v>
          </cell>
          <cell r="E870" t="str">
            <v xml:space="preserve">	</v>
          </cell>
          <cell r="F870">
            <v>8.59</v>
          </cell>
        </row>
        <row r="871">
          <cell r="A871" t="str">
            <v>h2-txc-12601</v>
          </cell>
          <cell r="B871" t="str">
            <v>h2</v>
          </cell>
          <cell r="C871" t="str">
            <v>txc</v>
          </cell>
          <cell r="D871">
            <v>12601</v>
          </cell>
          <cell r="E871" t="str">
            <v xml:space="preserve">	</v>
          </cell>
          <cell r="F871">
            <v>4.3</v>
          </cell>
        </row>
        <row r="872">
          <cell r="A872" t="str">
            <v>h2-txc-12602</v>
          </cell>
          <cell r="B872" t="str">
            <v>h2</v>
          </cell>
          <cell r="C872" t="str">
            <v>txc</v>
          </cell>
          <cell r="D872">
            <v>12602</v>
          </cell>
          <cell r="E872" t="str">
            <v xml:space="preserve">	</v>
          </cell>
          <cell r="F872">
            <v>2.66</v>
          </cell>
        </row>
        <row r="873">
          <cell r="A873" t="str">
            <v>h2-txc-12901</v>
          </cell>
          <cell r="B873" t="str">
            <v>h2</v>
          </cell>
          <cell r="C873" t="str">
            <v>txc</v>
          </cell>
          <cell r="D873">
            <v>12901</v>
          </cell>
          <cell r="E873" t="str">
            <v xml:space="preserve">	</v>
          </cell>
          <cell r="F873">
            <v>9.68</v>
          </cell>
        </row>
        <row r="874">
          <cell r="A874" t="str">
            <v>h2-txc-12902</v>
          </cell>
          <cell r="B874" t="str">
            <v>h2</v>
          </cell>
          <cell r="C874" t="str">
            <v>txc</v>
          </cell>
          <cell r="D874">
            <v>12902</v>
          </cell>
          <cell r="E874" t="str">
            <v xml:space="preserve">	</v>
          </cell>
          <cell r="F874">
            <v>1.07</v>
          </cell>
        </row>
        <row r="875">
          <cell r="A875" t="str">
            <v>h2-txc-12911</v>
          </cell>
          <cell r="B875" t="str">
            <v>h2</v>
          </cell>
          <cell r="C875" t="str">
            <v>txc</v>
          </cell>
          <cell r="D875">
            <v>12911</v>
          </cell>
          <cell r="E875" t="str">
            <v xml:space="preserve">	</v>
          </cell>
          <cell r="F875">
            <v>2.87</v>
          </cell>
        </row>
        <row r="876">
          <cell r="A876" t="str">
            <v>h2-txc-12912</v>
          </cell>
          <cell r="B876" t="str">
            <v>h2</v>
          </cell>
          <cell r="C876" t="str">
            <v>txc</v>
          </cell>
          <cell r="D876">
            <v>12912</v>
          </cell>
          <cell r="E876" t="str">
            <v xml:space="preserve">	</v>
          </cell>
          <cell r="F876">
            <v>13.87</v>
          </cell>
        </row>
        <row r="877">
          <cell r="A877" t="str">
            <v>h2-txc-1211</v>
          </cell>
          <cell r="B877" t="str">
            <v>h2</v>
          </cell>
          <cell r="C877" t="str">
            <v>txc</v>
          </cell>
          <cell r="D877">
            <v>1211</v>
          </cell>
          <cell r="E877" t="str">
            <v xml:space="preserve">	</v>
          </cell>
          <cell r="F877">
            <v>0.36</v>
          </cell>
        </row>
        <row r="878">
          <cell r="A878" t="str">
            <v>h2-txc-1212</v>
          </cell>
          <cell r="B878" t="str">
            <v>h2</v>
          </cell>
          <cell r="C878" t="str">
            <v>txc</v>
          </cell>
          <cell r="D878">
            <v>1212</v>
          </cell>
          <cell r="E878" t="str">
            <v xml:space="preserve">	</v>
          </cell>
          <cell r="F878">
            <v>8.08</v>
          </cell>
        </row>
        <row r="879">
          <cell r="A879" t="str">
            <v>h2-txc-1301</v>
          </cell>
          <cell r="B879" t="str">
            <v>h2</v>
          </cell>
          <cell r="C879" t="str">
            <v>txc</v>
          </cell>
          <cell r="D879">
            <v>1301</v>
          </cell>
          <cell r="E879" t="str">
            <v xml:space="preserve">	</v>
          </cell>
          <cell r="F879">
            <v>0.97</v>
          </cell>
        </row>
        <row r="880">
          <cell r="A880" t="str">
            <v>h2-txc-1302</v>
          </cell>
          <cell r="B880" t="str">
            <v>h2</v>
          </cell>
          <cell r="C880" t="str">
            <v>txc</v>
          </cell>
          <cell r="D880">
            <v>1302</v>
          </cell>
          <cell r="E880" t="str">
            <v xml:space="preserve">	</v>
          </cell>
          <cell r="F880">
            <v>1.21</v>
          </cell>
        </row>
        <row r="881">
          <cell r="A881" t="str">
            <v>h2-txc-13001</v>
          </cell>
          <cell r="B881" t="str">
            <v>h2</v>
          </cell>
          <cell r="C881" t="str">
            <v>txc</v>
          </cell>
          <cell r="D881">
            <v>13001</v>
          </cell>
          <cell r="E881" t="str">
            <v xml:space="preserve">	</v>
          </cell>
          <cell r="F881">
            <v>0.28999999999999998</v>
          </cell>
        </row>
        <row r="882">
          <cell r="A882" t="str">
            <v>h2-txc-13002</v>
          </cell>
          <cell r="B882" t="str">
            <v>h2</v>
          </cell>
          <cell r="C882" t="str">
            <v>txc</v>
          </cell>
          <cell r="D882">
            <v>13002</v>
          </cell>
          <cell r="E882" t="str">
            <v xml:space="preserve">	</v>
          </cell>
          <cell r="F882">
            <v>5.69</v>
          </cell>
        </row>
        <row r="883">
          <cell r="A883" t="str">
            <v>h2-txc-13011</v>
          </cell>
          <cell r="B883" t="str">
            <v>h2</v>
          </cell>
          <cell r="C883" t="str">
            <v>txc</v>
          </cell>
          <cell r="D883">
            <v>13011</v>
          </cell>
          <cell r="E883" t="str">
            <v xml:space="preserve">	</v>
          </cell>
          <cell r="F883">
            <v>2.59</v>
          </cell>
        </row>
        <row r="884">
          <cell r="A884" t="str">
            <v>h2-txc-13012</v>
          </cell>
          <cell r="B884" t="str">
            <v>h2</v>
          </cell>
          <cell r="C884" t="str">
            <v>txc</v>
          </cell>
          <cell r="D884">
            <v>13012</v>
          </cell>
          <cell r="E884" t="str">
            <v xml:space="preserve">	</v>
          </cell>
          <cell r="F884">
            <v>5.58</v>
          </cell>
        </row>
        <row r="885">
          <cell r="A885" t="str">
            <v>h2-txc-13201</v>
          </cell>
          <cell r="B885" t="str">
            <v>h2</v>
          </cell>
          <cell r="C885" t="str">
            <v>txc</v>
          </cell>
          <cell r="D885">
            <v>13201</v>
          </cell>
          <cell r="E885" t="str">
            <v xml:space="preserve">	</v>
          </cell>
          <cell r="F885">
            <v>3.25</v>
          </cell>
        </row>
        <row r="886">
          <cell r="A886" t="str">
            <v>h2-txc-13202</v>
          </cell>
          <cell r="B886" t="str">
            <v>h2</v>
          </cell>
          <cell r="C886" t="str">
            <v>txc</v>
          </cell>
          <cell r="D886">
            <v>13202</v>
          </cell>
          <cell r="E886" t="str">
            <v xml:space="preserve">	</v>
          </cell>
          <cell r="F886">
            <v>6.09</v>
          </cell>
        </row>
        <row r="887">
          <cell r="A887" t="str">
            <v>h2-txc-13211</v>
          </cell>
          <cell r="B887" t="str">
            <v>h2</v>
          </cell>
          <cell r="C887" t="str">
            <v>txc</v>
          </cell>
          <cell r="D887">
            <v>13211</v>
          </cell>
          <cell r="E887" t="str">
            <v xml:space="preserve">	</v>
          </cell>
          <cell r="F887">
            <v>0.23</v>
          </cell>
        </row>
        <row r="888">
          <cell r="A888" t="str">
            <v>h2-txc-13212</v>
          </cell>
          <cell r="B888" t="str">
            <v>h2</v>
          </cell>
          <cell r="C888" t="str">
            <v>txc</v>
          </cell>
          <cell r="D888">
            <v>13212</v>
          </cell>
          <cell r="E888" t="str">
            <v xml:space="preserve">	</v>
          </cell>
          <cell r="F888">
            <v>0.23</v>
          </cell>
        </row>
        <row r="889">
          <cell r="A889" t="str">
            <v>h2-txc-13301</v>
          </cell>
          <cell r="B889" t="str">
            <v>h2</v>
          </cell>
          <cell r="C889" t="str">
            <v>txc</v>
          </cell>
          <cell r="D889">
            <v>13301</v>
          </cell>
          <cell r="E889" t="str">
            <v xml:space="preserve">	</v>
          </cell>
          <cell r="F889">
            <v>18.39</v>
          </cell>
        </row>
        <row r="890">
          <cell r="A890" t="str">
            <v>h2-txc-13302</v>
          </cell>
          <cell r="B890" t="str">
            <v>h2</v>
          </cell>
          <cell r="C890" t="str">
            <v>txc</v>
          </cell>
          <cell r="D890">
            <v>13302</v>
          </cell>
          <cell r="E890" t="str">
            <v xml:space="preserve">	</v>
          </cell>
          <cell r="F890">
            <v>0.48</v>
          </cell>
        </row>
        <row r="891">
          <cell r="A891" t="str">
            <v>h2-txc-13321</v>
          </cell>
          <cell r="B891" t="str">
            <v>h2</v>
          </cell>
          <cell r="C891" t="str">
            <v>txc</v>
          </cell>
          <cell r="D891">
            <v>13321</v>
          </cell>
          <cell r="E891" t="str">
            <v xml:space="preserve">	</v>
          </cell>
          <cell r="F891">
            <v>0.21</v>
          </cell>
        </row>
        <row r="892">
          <cell r="A892" t="str">
            <v>h2-txc-13322</v>
          </cell>
          <cell r="B892" t="str">
            <v>h2</v>
          </cell>
          <cell r="C892" t="str">
            <v>txc</v>
          </cell>
          <cell r="D892">
            <v>13322</v>
          </cell>
          <cell r="E892" t="str">
            <v xml:space="preserve">	</v>
          </cell>
          <cell r="F892">
            <v>5.36</v>
          </cell>
        </row>
        <row r="893">
          <cell r="A893" t="str">
            <v>h2-txc-13311</v>
          </cell>
          <cell r="B893" t="str">
            <v>h2</v>
          </cell>
          <cell r="C893" t="str">
            <v>txc</v>
          </cell>
          <cell r="D893">
            <v>13311</v>
          </cell>
          <cell r="E893" t="str">
            <v xml:space="preserve">	</v>
          </cell>
          <cell r="F893">
            <v>1.86</v>
          </cell>
        </row>
        <row r="894">
          <cell r="A894" t="str">
            <v>h2-txc-13312</v>
          </cell>
          <cell r="B894" t="str">
            <v>h2</v>
          </cell>
          <cell r="C894" t="str">
            <v>txc</v>
          </cell>
          <cell r="D894">
            <v>13312</v>
          </cell>
          <cell r="E894" t="str">
            <v xml:space="preserve">	</v>
          </cell>
          <cell r="F894">
            <v>1.31</v>
          </cell>
        </row>
        <row r="895">
          <cell r="A895" t="str">
            <v>h2-txc-13411</v>
          </cell>
          <cell r="B895" t="str">
            <v>h2</v>
          </cell>
          <cell r="C895" t="str">
            <v>txc</v>
          </cell>
          <cell r="D895">
            <v>13411</v>
          </cell>
          <cell r="E895" t="str">
            <v xml:space="preserve">	</v>
          </cell>
          <cell r="F895">
            <v>2.0299999999999998</v>
          </cell>
        </row>
        <row r="896">
          <cell r="A896" t="str">
            <v>h2-txc-13412</v>
          </cell>
          <cell r="B896" t="str">
            <v>h2</v>
          </cell>
          <cell r="C896" t="str">
            <v>txc</v>
          </cell>
          <cell r="D896">
            <v>13412</v>
          </cell>
          <cell r="E896" t="str">
            <v xml:space="preserve">	</v>
          </cell>
          <cell r="F896">
            <v>4.43</v>
          </cell>
        </row>
        <row r="897">
          <cell r="A897" t="str">
            <v>h2-txc-13401</v>
          </cell>
          <cell r="B897" t="str">
            <v>h2</v>
          </cell>
          <cell r="C897" t="str">
            <v>txc</v>
          </cell>
          <cell r="D897">
            <v>13401</v>
          </cell>
          <cell r="E897" t="str">
            <v xml:space="preserve">	</v>
          </cell>
          <cell r="F897">
            <v>2.52</v>
          </cell>
        </row>
        <row r="898">
          <cell r="A898" t="str">
            <v>h2-txc-13402</v>
          </cell>
          <cell r="B898" t="str">
            <v>h2</v>
          </cell>
          <cell r="C898" t="str">
            <v>txc</v>
          </cell>
          <cell r="D898">
            <v>13402</v>
          </cell>
          <cell r="E898" t="str">
            <v xml:space="preserve">	</v>
          </cell>
          <cell r="F898">
            <v>5.66</v>
          </cell>
        </row>
        <row r="899">
          <cell r="A899" t="str">
            <v>h2-txc-13501</v>
          </cell>
          <cell r="B899" t="str">
            <v>h2</v>
          </cell>
          <cell r="C899" t="str">
            <v>txc</v>
          </cell>
          <cell r="D899">
            <v>13501</v>
          </cell>
          <cell r="E899" t="str">
            <v xml:space="preserve">	</v>
          </cell>
          <cell r="F899">
            <v>2.06</v>
          </cell>
        </row>
        <row r="900">
          <cell r="A900" t="str">
            <v>h2-txc-13502</v>
          </cell>
          <cell r="B900" t="str">
            <v>h2</v>
          </cell>
          <cell r="C900" t="str">
            <v>txc</v>
          </cell>
          <cell r="D900">
            <v>13502</v>
          </cell>
          <cell r="E900" t="str">
            <v xml:space="preserve">	</v>
          </cell>
          <cell r="F900">
            <v>1.43</v>
          </cell>
        </row>
        <row r="901">
          <cell r="A901" t="str">
            <v>h2-txc-13511</v>
          </cell>
          <cell r="B901" t="str">
            <v>h2</v>
          </cell>
          <cell r="C901" t="str">
            <v>txc</v>
          </cell>
          <cell r="D901">
            <v>13511</v>
          </cell>
          <cell r="E901" t="str">
            <v xml:space="preserve">	</v>
          </cell>
          <cell r="F901">
            <v>0.19</v>
          </cell>
        </row>
        <row r="902">
          <cell r="A902" t="str">
            <v>h2-txc-13512</v>
          </cell>
          <cell r="B902" t="str">
            <v>h2</v>
          </cell>
          <cell r="C902" t="str">
            <v>txc</v>
          </cell>
          <cell r="D902">
            <v>13512</v>
          </cell>
          <cell r="E902" t="str">
            <v xml:space="preserve">	</v>
          </cell>
          <cell r="F902">
            <v>3.38</v>
          </cell>
        </row>
        <row r="903">
          <cell r="A903" t="str">
            <v>h2-txc-13601</v>
          </cell>
          <cell r="B903" t="str">
            <v>h2</v>
          </cell>
          <cell r="C903" t="str">
            <v>txc</v>
          </cell>
          <cell r="D903">
            <v>13601</v>
          </cell>
          <cell r="E903" t="str">
            <v xml:space="preserve">	</v>
          </cell>
          <cell r="F903">
            <v>34.99</v>
          </cell>
        </row>
        <row r="904">
          <cell r="A904" t="str">
            <v>h2-txc-13602</v>
          </cell>
          <cell r="B904" t="str">
            <v>h2</v>
          </cell>
          <cell r="C904" t="str">
            <v>txc</v>
          </cell>
          <cell r="D904">
            <v>13602</v>
          </cell>
          <cell r="E904" t="str">
            <v xml:space="preserve">	</v>
          </cell>
          <cell r="F904">
            <v>19.149999999999999</v>
          </cell>
        </row>
        <row r="905">
          <cell r="A905" t="str">
            <v>h2-txc-1411</v>
          </cell>
          <cell r="B905" t="str">
            <v>h2</v>
          </cell>
          <cell r="C905" t="str">
            <v>txc</v>
          </cell>
          <cell r="D905">
            <v>1411</v>
          </cell>
          <cell r="E905" t="str">
            <v xml:space="preserve">	</v>
          </cell>
          <cell r="F905">
            <v>0.53</v>
          </cell>
        </row>
        <row r="906">
          <cell r="A906" t="str">
            <v>h2-txc-1412</v>
          </cell>
          <cell r="B906" t="str">
            <v>h2</v>
          </cell>
          <cell r="C906" t="str">
            <v>txc</v>
          </cell>
          <cell r="D906">
            <v>1412</v>
          </cell>
          <cell r="E906" t="str">
            <v xml:space="preserve">	</v>
          </cell>
          <cell r="F906">
            <v>0.12</v>
          </cell>
        </row>
        <row r="907">
          <cell r="A907" t="str">
            <v>h2-txc-1422</v>
          </cell>
          <cell r="B907" t="str">
            <v>h2</v>
          </cell>
          <cell r="C907" t="str">
            <v>txc</v>
          </cell>
          <cell r="D907">
            <v>1422</v>
          </cell>
          <cell r="E907" t="str">
            <v xml:space="preserve">	</v>
          </cell>
          <cell r="F907">
            <v>4.95</v>
          </cell>
        </row>
        <row r="908">
          <cell r="A908" t="str">
            <v>h2-txc-1431</v>
          </cell>
          <cell r="B908" t="str">
            <v>h2</v>
          </cell>
          <cell r="C908" t="str">
            <v>txc</v>
          </cell>
          <cell r="D908">
            <v>1431</v>
          </cell>
          <cell r="E908" t="str">
            <v xml:space="preserve">	</v>
          </cell>
          <cell r="F908">
            <v>1.9</v>
          </cell>
        </row>
        <row r="909">
          <cell r="A909" t="str">
            <v>h2-txc-1432</v>
          </cell>
          <cell r="B909" t="str">
            <v>h2</v>
          </cell>
          <cell r="C909" t="str">
            <v>txc</v>
          </cell>
          <cell r="D909">
            <v>1432</v>
          </cell>
          <cell r="E909" t="str">
            <v xml:space="preserve">	</v>
          </cell>
          <cell r="F909">
            <v>0.18</v>
          </cell>
        </row>
        <row r="910">
          <cell r="A910" t="str">
            <v>h2-txc-15201</v>
          </cell>
          <cell r="B910" t="str">
            <v>h2</v>
          </cell>
          <cell r="C910" t="str">
            <v>txc</v>
          </cell>
          <cell r="D910">
            <v>15201</v>
          </cell>
          <cell r="E910" t="str">
            <v xml:space="preserve">	</v>
          </cell>
          <cell r="F910">
            <v>20.91</v>
          </cell>
        </row>
        <row r="911">
          <cell r="A911" t="str">
            <v>h2-txc-15202</v>
          </cell>
          <cell r="B911" t="str">
            <v>h2</v>
          </cell>
          <cell r="C911" t="str">
            <v>txc</v>
          </cell>
          <cell r="D911">
            <v>15202</v>
          </cell>
          <cell r="E911" t="str">
            <v xml:space="preserve">	</v>
          </cell>
          <cell r="F911">
            <v>17.37</v>
          </cell>
        </row>
        <row r="912">
          <cell r="A912" t="str">
            <v>h2-txc-15211</v>
          </cell>
          <cell r="B912" t="str">
            <v>h2</v>
          </cell>
          <cell r="C912" t="str">
            <v>txc</v>
          </cell>
          <cell r="D912">
            <v>15211</v>
          </cell>
          <cell r="E912" t="str">
            <v xml:space="preserve">	</v>
          </cell>
          <cell r="F912">
            <v>11.08</v>
          </cell>
        </row>
        <row r="913">
          <cell r="A913" t="str">
            <v>h2-txc-15212</v>
          </cell>
          <cell r="B913" t="str">
            <v>h2</v>
          </cell>
          <cell r="C913" t="str">
            <v>txc</v>
          </cell>
          <cell r="D913">
            <v>15212</v>
          </cell>
          <cell r="E913" t="str">
            <v xml:space="preserve">	</v>
          </cell>
          <cell r="F913">
            <v>0.98</v>
          </cell>
        </row>
        <row r="914">
          <cell r="A914" t="str">
            <v>h2-txc-15301</v>
          </cell>
          <cell r="B914" t="str">
            <v>h2</v>
          </cell>
          <cell r="C914" t="str">
            <v>txc</v>
          </cell>
          <cell r="D914">
            <v>15301</v>
          </cell>
          <cell r="E914" t="str">
            <v xml:space="preserve">	</v>
          </cell>
          <cell r="F914">
            <v>0.76</v>
          </cell>
        </row>
        <row r="915">
          <cell r="A915" t="str">
            <v>h2-txc-15302</v>
          </cell>
          <cell r="B915" t="str">
            <v>h2</v>
          </cell>
          <cell r="C915" t="str">
            <v>txc</v>
          </cell>
          <cell r="D915">
            <v>15302</v>
          </cell>
          <cell r="E915" t="str">
            <v xml:space="preserve">	</v>
          </cell>
          <cell r="F915">
            <v>34.79</v>
          </cell>
        </row>
        <row r="916">
          <cell r="A916" t="str">
            <v>h2-txc-15311</v>
          </cell>
          <cell r="B916" t="str">
            <v>h2</v>
          </cell>
          <cell r="C916" t="str">
            <v>txc</v>
          </cell>
          <cell r="D916">
            <v>15311</v>
          </cell>
          <cell r="E916" t="str">
            <v xml:space="preserve">	</v>
          </cell>
          <cell r="F916">
            <v>7.91</v>
          </cell>
        </row>
        <row r="917">
          <cell r="A917" t="str">
            <v>h2-txc-15312</v>
          </cell>
          <cell r="B917" t="str">
            <v>h2</v>
          </cell>
          <cell r="C917" t="str">
            <v>txc</v>
          </cell>
          <cell r="D917">
            <v>15312</v>
          </cell>
          <cell r="E917" t="str">
            <v xml:space="preserve">	</v>
          </cell>
          <cell r="F917">
            <v>0.43</v>
          </cell>
        </row>
        <row r="918">
          <cell r="A918" t="str">
            <v>h2-txc-15501</v>
          </cell>
          <cell r="B918" t="str">
            <v>h2</v>
          </cell>
          <cell r="C918" t="str">
            <v>txc</v>
          </cell>
          <cell r="D918">
            <v>15501</v>
          </cell>
          <cell r="E918" t="str">
            <v xml:space="preserve">	</v>
          </cell>
          <cell r="F918">
            <v>74.86</v>
          </cell>
        </row>
        <row r="919">
          <cell r="A919" t="str">
            <v>h2-txc-15502</v>
          </cell>
          <cell r="B919" t="str">
            <v>h2</v>
          </cell>
          <cell r="C919" t="str">
            <v>txc</v>
          </cell>
          <cell r="D919">
            <v>15502</v>
          </cell>
          <cell r="E919" t="str">
            <v xml:space="preserve">	</v>
          </cell>
          <cell r="F919">
            <v>8.14</v>
          </cell>
        </row>
        <row r="920">
          <cell r="A920" t="str">
            <v>h2-txc-15511</v>
          </cell>
          <cell r="B920" t="str">
            <v>h2</v>
          </cell>
          <cell r="C920" t="str">
            <v>txc</v>
          </cell>
          <cell r="D920">
            <v>15511</v>
          </cell>
          <cell r="E920" t="str">
            <v xml:space="preserve">	</v>
          </cell>
          <cell r="F920">
            <v>0.51</v>
          </cell>
        </row>
        <row r="921">
          <cell r="A921" t="str">
            <v>h2-txc-15512</v>
          </cell>
          <cell r="B921" t="str">
            <v>h2</v>
          </cell>
          <cell r="C921" t="str">
            <v>txc</v>
          </cell>
          <cell r="D921">
            <v>15512</v>
          </cell>
          <cell r="E921" t="str">
            <v xml:space="preserve">	</v>
          </cell>
          <cell r="F921">
            <v>0.25</v>
          </cell>
        </row>
        <row r="922">
          <cell r="A922" t="str">
            <v>h2-txc-15701</v>
          </cell>
          <cell r="B922" t="str">
            <v>h2</v>
          </cell>
          <cell r="C922" t="str">
            <v>txc</v>
          </cell>
          <cell r="D922">
            <v>15701</v>
          </cell>
          <cell r="E922" t="str">
            <v xml:space="preserve">	</v>
          </cell>
          <cell r="F922">
            <v>0.5</v>
          </cell>
        </row>
        <row r="923">
          <cell r="A923" t="str">
            <v>h2-txc-15702</v>
          </cell>
          <cell r="B923" t="str">
            <v>h2</v>
          </cell>
          <cell r="C923" t="str">
            <v>txc</v>
          </cell>
          <cell r="D923">
            <v>15702</v>
          </cell>
          <cell r="E923" t="str">
            <v xml:space="preserve">	</v>
          </cell>
          <cell r="F923">
            <v>8.49</v>
          </cell>
        </row>
        <row r="924">
          <cell r="A924" t="str">
            <v>h2-txc-16101</v>
          </cell>
          <cell r="B924" t="str">
            <v>h2</v>
          </cell>
          <cell r="C924" t="str">
            <v>txc</v>
          </cell>
          <cell r="D924">
            <v>16101</v>
          </cell>
          <cell r="E924" t="str">
            <v xml:space="preserve">	</v>
          </cell>
          <cell r="F924">
            <v>14.77</v>
          </cell>
        </row>
        <row r="925">
          <cell r="A925" t="str">
            <v>h2-txc-16102</v>
          </cell>
          <cell r="B925" t="str">
            <v>h2</v>
          </cell>
          <cell r="C925" t="str">
            <v>txc</v>
          </cell>
          <cell r="D925">
            <v>16102</v>
          </cell>
          <cell r="E925" t="str">
            <v xml:space="preserve">	</v>
          </cell>
          <cell r="F925">
            <v>5.72</v>
          </cell>
        </row>
        <row r="926">
          <cell r="A926" t="str">
            <v>h2-txc-16201</v>
          </cell>
          <cell r="B926" t="str">
            <v>h2</v>
          </cell>
          <cell r="C926" t="str">
            <v>txc</v>
          </cell>
          <cell r="D926">
            <v>16201</v>
          </cell>
          <cell r="E926" t="str">
            <v xml:space="preserve">	</v>
          </cell>
          <cell r="F926">
            <v>0.39</v>
          </cell>
        </row>
        <row r="927">
          <cell r="A927" t="str">
            <v>h2-txc-16202</v>
          </cell>
          <cell r="B927" t="str">
            <v>h2</v>
          </cell>
          <cell r="C927" t="str">
            <v>txc</v>
          </cell>
          <cell r="D927">
            <v>16202</v>
          </cell>
          <cell r="E927" t="str">
            <v xml:space="preserve">	</v>
          </cell>
          <cell r="F927">
            <v>2.21</v>
          </cell>
        </row>
        <row r="928">
          <cell r="A928" t="str">
            <v>h2-txc-16601</v>
          </cell>
          <cell r="B928" t="str">
            <v>h2</v>
          </cell>
          <cell r="C928" t="str">
            <v>txc</v>
          </cell>
          <cell r="D928">
            <v>16601</v>
          </cell>
          <cell r="E928" t="str">
            <v xml:space="preserve">	</v>
          </cell>
          <cell r="F928">
            <v>19.95</v>
          </cell>
        </row>
        <row r="929">
          <cell r="A929" t="str">
            <v>h2-txc-16602</v>
          </cell>
          <cell r="B929" t="str">
            <v>h2</v>
          </cell>
          <cell r="C929" t="str">
            <v>txc</v>
          </cell>
          <cell r="D929">
            <v>16602</v>
          </cell>
          <cell r="E929" t="str">
            <v xml:space="preserve">	</v>
          </cell>
          <cell r="F929">
            <v>6.03</v>
          </cell>
        </row>
        <row r="930">
          <cell r="A930" t="str">
            <v>h2-txc-16801</v>
          </cell>
          <cell r="B930" t="str">
            <v>h2</v>
          </cell>
          <cell r="C930" t="str">
            <v>txc</v>
          </cell>
          <cell r="D930">
            <v>16801</v>
          </cell>
          <cell r="E930" t="str">
            <v xml:space="preserve">	</v>
          </cell>
          <cell r="F930">
            <v>3.73</v>
          </cell>
        </row>
        <row r="931">
          <cell r="A931" t="str">
            <v>h2-txc-16802</v>
          </cell>
          <cell r="B931" t="str">
            <v>h2</v>
          </cell>
          <cell r="C931" t="str">
            <v>txc</v>
          </cell>
          <cell r="D931">
            <v>16802</v>
          </cell>
          <cell r="E931" t="str">
            <v xml:space="preserve">	</v>
          </cell>
          <cell r="F931">
            <v>2.0499999999999998</v>
          </cell>
        </row>
        <row r="932">
          <cell r="A932" t="str">
            <v>h2-txc-16901</v>
          </cell>
          <cell r="B932" t="str">
            <v>h2</v>
          </cell>
          <cell r="C932" t="str">
            <v>txc</v>
          </cell>
          <cell r="D932">
            <v>16901</v>
          </cell>
          <cell r="E932" t="str">
            <v xml:space="preserve">	</v>
          </cell>
          <cell r="F932">
            <v>3.86</v>
          </cell>
        </row>
        <row r="933">
          <cell r="A933" t="str">
            <v>h2-txc-16902</v>
          </cell>
          <cell r="B933" t="str">
            <v>h2</v>
          </cell>
          <cell r="C933" t="str">
            <v>txc</v>
          </cell>
          <cell r="D933">
            <v>16902</v>
          </cell>
          <cell r="E933" t="str">
            <v xml:space="preserve">	</v>
          </cell>
          <cell r="F933">
            <v>3.4</v>
          </cell>
        </row>
        <row r="934">
          <cell r="A934" t="str">
            <v>h2-txc-1701</v>
          </cell>
          <cell r="B934" t="str">
            <v>h2</v>
          </cell>
          <cell r="C934" t="str">
            <v>txc</v>
          </cell>
          <cell r="D934">
            <v>1701</v>
          </cell>
          <cell r="E934" t="str">
            <v xml:space="preserve">	</v>
          </cell>
          <cell r="F934">
            <v>0.21</v>
          </cell>
        </row>
        <row r="935">
          <cell r="A935" t="str">
            <v>h2-txc-1702</v>
          </cell>
          <cell r="B935" t="str">
            <v>h2</v>
          </cell>
          <cell r="C935" t="str">
            <v>txc</v>
          </cell>
          <cell r="D935">
            <v>1702</v>
          </cell>
          <cell r="E935" t="str">
            <v xml:space="preserve">	</v>
          </cell>
          <cell r="F935">
            <v>0.14000000000000001</v>
          </cell>
        </row>
        <row r="936">
          <cell r="A936" t="str">
            <v>h2-txc-1711</v>
          </cell>
          <cell r="B936" t="str">
            <v>h2</v>
          </cell>
          <cell r="C936" t="str">
            <v>txc</v>
          </cell>
          <cell r="D936">
            <v>1711</v>
          </cell>
          <cell r="E936" t="str">
            <v xml:space="preserve">	</v>
          </cell>
          <cell r="F936">
            <v>0.21</v>
          </cell>
        </row>
        <row r="937">
          <cell r="A937" t="str">
            <v>h2-txc-1712</v>
          </cell>
          <cell r="B937" t="str">
            <v>h2</v>
          </cell>
          <cell r="C937" t="str">
            <v>txc</v>
          </cell>
          <cell r="D937">
            <v>1712</v>
          </cell>
          <cell r="E937" t="str">
            <v xml:space="preserve">	</v>
          </cell>
          <cell r="F937">
            <v>7.51</v>
          </cell>
        </row>
        <row r="938">
          <cell r="A938" t="str">
            <v>h2-txc-1801</v>
          </cell>
          <cell r="B938" t="str">
            <v>h2</v>
          </cell>
          <cell r="C938" t="str">
            <v>txc</v>
          </cell>
          <cell r="D938">
            <v>1801</v>
          </cell>
          <cell r="E938" t="str">
            <v xml:space="preserve">	</v>
          </cell>
          <cell r="F938">
            <v>0.37</v>
          </cell>
        </row>
        <row r="939">
          <cell r="A939" t="str">
            <v>h2-txc-1802</v>
          </cell>
          <cell r="B939" t="str">
            <v>h2</v>
          </cell>
          <cell r="C939" t="str">
            <v>txc</v>
          </cell>
          <cell r="D939">
            <v>1802</v>
          </cell>
          <cell r="E939" t="str">
            <v xml:space="preserve">	</v>
          </cell>
          <cell r="F939">
            <v>3.04</v>
          </cell>
        </row>
        <row r="940">
          <cell r="A940" t="str">
            <v>h2-txc-18511</v>
          </cell>
          <cell r="B940" t="str">
            <v>h2</v>
          </cell>
          <cell r="C940" t="str">
            <v>txc</v>
          </cell>
          <cell r="D940">
            <v>18511</v>
          </cell>
          <cell r="E940" t="str">
            <v xml:space="preserve">	</v>
          </cell>
          <cell r="F940">
            <v>3.32</v>
          </cell>
        </row>
        <row r="941">
          <cell r="A941" t="str">
            <v>h2-txc-18512</v>
          </cell>
          <cell r="B941" t="str">
            <v>h2</v>
          </cell>
          <cell r="C941" t="str">
            <v>txc</v>
          </cell>
          <cell r="D941">
            <v>18512</v>
          </cell>
          <cell r="E941" t="str">
            <v xml:space="preserve">	</v>
          </cell>
          <cell r="F941">
            <v>4.29</v>
          </cell>
        </row>
        <row r="942">
          <cell r="A942" t="str">
            <v>h2-txc-18501</v>
          </cell>
          <cell r="B942" t="str">
            <v>h2</v>
          </cell>
          <cell r="C942" t="str">
            <v>txc</v>
          </cell>
          <cell r="D942">
            <v>18501</v>
          </cell>
          <cell r="E942" t="str">
            <v xml:space="preserve">	</v>
          </cell>
          <cell r="F942">
            <v>0.69</v>
          </cell>
        </row>
        <row r="943">
          <cell r="A943" t="str">
            <v>h2-txc-18502</v>
          </cell>
          <cell r="B943" t="str">
            <v>h2</v>
          </cell>
          <cell r="C943" t="str">
            <v>txc</v>
          </cell>
          <cell r="D943">
            <v>18502</v>
          </cell>
          <cell r="E943" t="str">
            <v xml:space="preserve">	</v>
          </cell>
          <cell r="F943">
            <v>6.27</v>
          </cell>
        </row>
        <row r="944">
          <cell r="A944" t="str">
            <v>h2-txc-18801</v>
          </cell>
          <cell r="B944" t="str">
            <v>h2</v>
          </cell>
          <cell r="C944" t="str">
            <v>txc</v>
          </cell>
          <cell r="D944">
            <v>18801</v>
          </cell>
          <cell r="E944" t="str">
            <v xml:space="preserve">	</v>
          </cell>
          <cell r="F944">
            <v>30.26</v>
          </cell>
        </row>
        <row r="945">
          <cell r="A945" t="str">
            <v>h2-txc-18802</v>
          </cell>
          <cell r="B945" t="str">
            <v>h2</v>
          </cell>
          <cell r="C945" t="str">
            <v>txc</v>
          </cell>
          <cell r="D945">
            <v>18802</v>
          </cell>
          <cell r="E945" t="str">
            <v xml:space="preserve">	</v>
          </cell>
          <cell r="F945">
            <v>0.35</v>
          </cell>
        </row>
        <row r="946">
          <cell r="A946" t="str">
            <v>h2-txc-1901</v>
          </cell>
          <cell r="B946" t="str">
            <v>h2</v>
          </cell>
          <cell r="C946" t="str">
            <v>txc</v>
          </cell>
          <cell r="D946">
            <v>1901</v>
          </cell>
          <cell r="E946" t="str">
            <v xml:space="preserve">	</v>
          </cell>
          <cell r="F946">
            <v>0.67</v>
          </cell>
        </row>
        <row r="947">
          <cell r="A947" t="str">
            <v>h2-txc-1902</v>
          </cell>
          <cell r="B947" t="str">
            <v>h2</v>
          </cell>
          <cell r="C947" t="str">
            <v>txc</v>
          </cell>
          <cell r="D947">
            <v>1902</v>
          </cell>
          <cell r="E947" t="str">
            <v xml:space="preserve">	</v>
          </cell>
          <cell r="F947">
            <v>0.54</v>
          </cell>
        </row>
        <row r="948">
          <cell r="A948" t="str">
            <v>h2-txc-201</v>
          </cell>
          <cell r="B948" t="str">
            <v>h2</v>
          </cell>
          <cell r="C948" t="str">
            <v>txc</v>
          </cell>
          <cell r="D948">
            <v>201</v>
          </cell>
          <cell r="E948" t="str">
            <v xml:space="preserve">	</v>
          </cell>
          <cell r="F948">
            <v>40.56</v>
          </cell>
        </row>
        <row r="949">
          <cell r="A949" t="str">
            <v>h2-txc-202</v>
          </cell>
          <cell r="B949" t="str">
            <v>h2</v>
          </cell>
          <cell r="C949" t="str">
            <v>txc</v>
          </cell>
          <cell r="D949">
            <v>202</v>
          </cell>
          <cell r="E949" t="str">
            <v xml:space="preserve">	</v>
          </cell>
          <cell r="F949">
            <v>7.89</v>
          </cell>
        </row>
        <row r="950">
          <cell r="A950" t="str">
            <v>h2-txc-2001</v>
          </cell>
          <cell r="B950" t="str">
            <v>h2</v>
          </cell>
          <cell r="C950" t="str">
            <v>txc</v>
          </cell>
          <cell r="D950">
            <v>2001</v>
          </cell>
          <cell r="E950" t="str">
            <v xml:space="preserve">	</v>
          </cell>
          <cell r="F950">
            <v>2.72</v>
          </cell>
        </row>
        <row r="951">
          <cell r="A951" t="str">
            <v>h2-txc-2002</v>
          </cell>
          <cell r="B951" t="str">
            <v>h2</v>
          </cell>
          <cell r="C951" t="str">
            <v>txc</v>
          </cell>
          <cell r="D951">
            <v>2002</v>
          </cell>
          <cell r="E951" t="str">
            <v xml:space="preserve">	</v>
          </cell>
          <cell r="F951">
            <v>0.45</v>
          </cell>
        </row>
        <row r="952">
          <cell r="A952" t="str">
            <v>h2-txc-20011</v>
          </cell>
          <cell r="B952" t="str">
            <v>h2</v>
          </cell>
          <cell r="C952" t="str">
            <v>txc</v>
          </cell>
          <cell r="D952">
            <v>20011</v>
          </cell>
          <cell r="E952" t="str">
            <v xml:space="preserve">	</v>
          </cell>
          <cell r="F952">
            <v>1.97</v>
          </cell>
        </row>
        <row r="953">
          <cell r="A953" t="str">
            <v>h2-txc-20012</v>
          </cell>
          <cell r="B953" t="str">
            <v>h2</v>
          </cell>
          <cell r="C953" t="str">
            <v>txc</v>
          </cell>
          <cell r="D953">
            <v>20012</v>
          </cell>
          <cell r="E953" t="str">
            <v xml:space="preserve">	</v>
          </cell>
          <cell r="F953">
            <v>2.7</v>
          </cell>
        </row>
        <row r="954">
          <cell r="A954" t="str">
            <v>h2-txc-20001</v>
          </cell>
          <cell r="B954" t="str">
            <v>h2</v>
          </cell>
          <cell r="C954" t="str">
            <v>txc</v>
          </cell>
          <cell r="D954">
            <v>20001</v>
          </cell>
          <cell r="E954" t="str">
            <v xml:space="preserve">	</v>
          </cell>
          <cell r="F954">
            <v>12.18</v>
          </cell>
        </row>
        <row r="955">
          <cell r="A955" t="str">
            <v>h2-txc-20002</v>
          </cell>
          <cell r="B955" t="str">
            <v>h2</v>
          </cell>
          <cell r="C955" t="str">
            <v>txc</v>
          </cell>
          <cell r="D955">
            <v>20002</v>
          </cell>
          <cell r="E955" t="str">
            <v xml:space="preserve">	</v>
          </cell>
          <cell r="F955">
            <v>0.44</v>
          </cell>
        </row>
        <row r="956">
          <cell r="A956" t="str">
            <v>h2-txc-22001</v>
          </cell>
          <cell r="B956" t="str">
            <v>h2</v>
          </cell>
          <cell r="C956" t="str">
            <v>txc</v>
          </cell>
          <cell r="D956">
            <v>22001</v>
          </cell>
          <cell r="E956" t="str">
            <v xml:space="preserve">	</v>
          </cell>
          <cell r="F956">
            <v>9.06</v>
          </cell>
        </row>
        <row r="957">
          <cell r="A957" t="str">
            <v>h2-txc-22002</v>
          </cell>
          <cell r="B957" t="str">
            <v>h2</v>
          </cell>
          <cell r="C957" t="str">
            <v>txc</v>
          </cell>
          <cell r="D957">
            <v>22002</v>
          </cell>
          <cell r="E957" t="str">
            <v xml:space="preserve">	</v>
          </cell>
          <cell r="F957">
            <v>3.64</v>
          </cell>
        </row>
        <row r="958">
          <cell r="A958" t="str">
            <v>h2-txc-22501</v>
          </cell>
          <cell r="B958" t="str">
            <v>h2</v>
          </cell>
          <cell r="C958" t="str">
            <v>txc</v>
          </cell>
          <cell r="D958">
            <v>22501</v>
          </cell>
          <cell r="E958" t="str">
            <v xml:space="preserve">	</v>
          </cell>
          <cell r="F958">
            <v>7.68</v>
          </cell>
        </row>
        <row r="959">
          <cell r="A959" t="str">
            <v>h2-txc-22502</v>
          </cell>
          <cell r="B959" t="str">
            <v>h2</v>
          </cell>
          <cell r="C959" t="str">
            <v>txc</v>
          </cell>
          <cell r="D959">
            <v>22502</v>
          </cell>
          <cell r="E959" t="str">
            <v xml:space="preserve">	</v>
          </cell>
          <cell r="F959">
            <v>9.9499999999999993</v>
          </cell>
        </row>
        <row r="960">
          <cell r="A960" t="str">
            <v>h2-txc-2301</v>
          </cell>
          <cell r="B960" t="str">
            <v>h2</v>
          </cell>
          <cell r="C960" t="str">
            <v>txc</v>
          </cell>
          <cell r="D960">
            <v>2301</v>
          </cell>
          <cell r="E960" t="str">
            <v xml:space="preserve">	</v>
          </cell>
          <cell r="F960">
            <v>43.57</v>
          </cell>
        </row>
        <row r="961">
          <cell r="A961" t="str">
            <v>h2-txc-2302</v>
          </cell>
          <cell r="B961" t="str">
            <v>h2</v>
          </cell>
          <cell r="C961" t="str">
            <v>txc</v>
          </cell>
          <cell r="D961">
            <v>2302</v>
          </cell>
          <cell r="E961" t="str">
            <v xml:space="preserve">	</v>
          </cell>
          <cell r="F961">
            <v>0.31</v>
          </cell>
        </row>
        <row r="962">
          <cell r="A962" t="str">
            <v>h2-txc-2311</v>
          </cell>
          <cell r="B962" t="str">
            <v>h2</v>
          </cell>
          <cell r="C962" t="str">
            <v>txc</v>
          </cell>
          <cell r="D962">
            <v>2311</v>
          </cell>
          <cell r="E962" t="str">
            <v xml:space="preserve">	</v>
          </cell>
          <cell r="F962">
            <v>12.93</v>
          </cell>
        </row>
        <row r="963">
          <cell r="A963" t="str">
            <v>h2-txc-2312</v>
          </cell>
          <cell r="B963" t="str">
            <v>h2</v>
          </cell>
          <cell r="C963" t="str">
            <v>txc</v>
          </cell>
          <cell r="D963">
            <v>2312</v>
          </cell>
          <cell r="E963" t="str">
            <v xml:space="preserve">	</v>
          </cell>
          <cell r="F963">
            <v>0.33</v>
          </cell>
        </row>
        <row r="964">
          <cell r="A964" t="str">
            <v>h2-txc-2411</v>
          </cell>
          <cell r="B964" t="str">
            <v>h2</v>
          </cell>
          <cell r="C964" t="str">
            <v>txc</v>
          </cell>
          <cell r="D964">
            <v>2411</v>
          </cell>
          <cell r="E964" t="str">
            <v xml:space="preserve">	</v>
          </cell>
          <cell r="F964">
            <v>0.55000000000000004</v>
          </cell>
        </row>
        <row r="965">
          <cell r="A965" t="str">
            <v>h2-txc-2412</v>
          </cell>
          <cell r="B965" t="str">
            <v>h2</v>
          </cell>
          <cell r="C965" t="str">
            <v>txc</v>
          </cell>
          <cell r="D965">
            <v>2412</v>
          </cell>
          <cell r="E965" t="str">
            <v xml:space="preserve">	</v>
          </cell>
          <cell r="F965">
            <v>0.47</v>
          </cell>
        </row>
        <row r="966">
          <cell r="A966" t="str">
            <v>h2-txc-2431</v>
          </cell>
          <cell r="B966" t="str">
            <v>h2</v>
          </cell>
          <cell r="C966" t="str">
            <v>txc</v>
          </cell>
          <cell r="D966">
            <v>2431</v>
          </cell>
          <cell r="E966" t="str">
            <v xml:space="preserve">	</v>
          </cell>
          <cell r="F966">
            <v>7.68</v>
          </cell>
        </row>
        <row r="967">
          <cell r="A967" t="str">
            <v>h2-txc-2432</v>
          </cell>
          <cell r="B967" t="str">
            <v>h2</v>
          </cell>
          <cell r="C967" t="str">
            <v>txc</v>
          </cell>
          <cell r="D967">
            <v>2432</v>
          </cell>
          <cell r="E967" t="str">
            <v xml:space="preserve">	</v>
          </cell>
          <cell r="F967">
            <v>0.9</v>
          </cell>
        </row>
        <row r="968">
          <cell r="A968" t="str">
            <v>h2-txc-2421</v>
          </cell>
          <cell r="B968" t="str">
            <v>h2</v>
          </cell>
          <cell r="C968" t="str">
            <v>txc</v>
          </cell>
          <cell r="D968">
            <v>2421</v>
          </cell>
          <cell r="E968" t="str">
            <v xml:space="preserve">	</v>
          </cell>
          <cell r="F968">
            <v>3.63</v>
          </cell>
        </row>
        <row r="969">
          <cell r="A969" t="str">
            <v>h2-txc-2422</v>
          </cell>
          <cell r="B969" t="str">
            <v>h2</v>
          </cell>
          <cell r="C969" t="str">
            <v>txc</v>
          </cell>
          <cell r="D969">
            <v>2422</v>
          </cell>
          <cell r="E969" t="str">
            <v xml:space="preserve">	</v>
          </cell>
          <cell r="F969">
            <v>0.43</v>
          </cell>
        </row>
        <row r="970">
          <cell r="A970" t="str">
            <v>h2-txc-2401</v>
          </cell>
          <cell r="B970" t="str">
            <v>h2</v>
          </cell>
          <cell r="C970" t="str">
            <v>txc</v>
          </cell>
          <cell r="D970">
            <v>2401</v>
          </cell>
          <cell r="E970" t="str">
            <v xml:space="preserve">	</v>
          </cell>
          <cell r="F970">
            <v>34.799999999999997</v>
          </cell>
        </row>
        <row r="971">
          <cell r="A971" t="str">
            <v>h2-txc-2402</v>
          </cell>
          <cell r="B971" t="str">
            <v>h2</v>
          </cell>
          <cell r="C971" t="str">
            <v>txc</v>
          </cell>
          <cell r="D971">
            <v>2402</v>
          </cell>
          <cell r="E971" t="str">
            <v xml:space="preserve">	</v>
          </cell>
          <cell r="F971">
            <v>10.82</v>
          </cell>
        </row>
        <row r="972">
          <cell r="A972" t="str">
            <v>h2-txc-25011</v>
          </cell>
          <cell r="B972" t="str">
            <v>h2</v>
          </cell>
          <cell r="C972" t="str">
            <v>txc</v>
          </cell>
          <cell r="D972">
            <v>25011</v>
          </cell>
          <cell r="E972" t="str">
            <v xml:space="preserve">	</v>
          </cell>
          <cell r="F972">
            <v>9.94</v>
          </cell>
        </row>
        <row r="973">
          <cell r="A973" t="str">
            <v>h2-txc-25012</v>
          </cell>
          <cell r="B973" t="str">
            <v>h2</v>
          </cell>
          <cell r="C973" t="str">
            <v>txc</v>
          </cell>
          <cell r="D973">
            <v>25012</v>
          </cell>
          <cell r="E973" t="str">
            <v xml:space="preserve">	</v>
          </cell>
          <cell r="F973">
            <v>11.52</v>
          </cell>
        </row>
        <row r="974">
          <cell r="A974" t="str">
            <v>h2-txc-25001</v>
          </cell>
          <cell r="B974" t="str">
            <v>h2</v>
          </cell>
          <cell r="C974" t="str">
            <v>txc</v>
          </cell>
          <cell r="D974">
            <v>25001</v>
          </cell>
          <cell r="E974" t="str">
            <v xml:space="preserve">	</v>
          </cell>
          <cell r="F974">
            <v>5.86</v>
          </cell>
        </row>
        <row r="975">
          <cell r="A975" t="str">
            <v>h2-txc-25002</v>
          </cell>
          <cell r="B975" t="str">
            <v>h2</v>
          </cell>
          <cell r="C975" t="str">
            <v>txc</v>
          </cell>
          <cell r="D975">
            <v>25002</v>
          </cell>
          <cell r="E975" t="str">
            <v xml:space="preserve">	</v>
          </cell>
          <cell r="F975">
            <v>0.36</v>
          </cell>
        </row>
        <row r="976">
          <cell r="A976" t="str">
            <v>h2-txc-2611</v>
          </cell>
          <cell r="B976" t="str">
            <v>h2</v>
          </cell>
          <cell r="C976" t="str">
            <v>txc</v>
          </cell>
          <cell r="D976">
            <v>2611</v>
          </cell>
          <cell r="E976" t="str">
            <v xml:space="preserve">	</v>
          </cell>
          <cell r="F976">
            <v>23.3</v>
          </cell>
        </row>
        <row r="977">
          <cell r="A977" t="str">
            <v>h2-txc-2612</v>
          </cell>
          <cell r="B977" t="str">
            <v>h2</v>
          </cell>
          <cell r="C977" t="str">
            <v>txc</v>
          </cell>
          <cell r="D977">
            <v>2612</v>
          </cell>
          <cell r="E977" t="str">
            <v xml:space="preserve">	</v>
          </cell>
          <cell r="F977">
            <v>24.63</v>
          </cell>
        </row>
        <row r="978">
          <cell r="A978" t="str">
            <v>h2-txc-2701</v>
          </cell>
          <cell r="B978" t="str">
            <v>h2</v>
          </cell>
          <cell r="C978" t="str">
            <v>txc</v>
          </cell>
          <cell r="D978">
            <v>2701</v>
          </cell>
          <cell r="E978" t="str">
            <v xml:space="preserve">	</v>
          </cell>
          <cell r="F978">
            <v>0.28000000000000003</v>
          </cell>
        </row>
        <row r="979">
          <cell r="A979" t="str">
            <v>h2-txc-2702</v>
          </cell>
          <cell r="B979" t="str">
            <v>h2</v>
          </cell>
          <cell r="C979" t="str">
            <v>txc</v>
          </cell>
          <cell r="D979">
            <v>2702</v>
          </cell>
          <cell r="E979" t="str">
            <v xml:space="preserve">	</v>
          </cell>
          <cell r="F979">
            <v>0.1</v>
          </cell>
        </row>
        <row r="980">
          <cell r="A980" t="str">
            <v>h2-txc-2711</v>
          </cell>
          <cell r="B980" t="str">
            <v>h2</v>
          </cell>
          <cell r="C980" t="str">
            <v>txc</v>
          </cell>
          <cell r="D980">
            <v>2711</v>
          </cell>
          <cell r="E980" t="str">
            <v xml:space="preserve">	</v>
          </cell>
          <cell r="F980">
            <v>3.31</v>
          </cell>
        </row>
        <row r="981">
          <cell r="A981" t="str">
            <v>h2-txc-2712</v>
          </cell>
          <cell r="B981" t="str">
            <v>h2</v>
          </cell>
          <cell r="C981" t="str">
            <v>txc</v>
          </cell>
          <cell r="D981">
            <v>2712</v>
          </cell>
          <cell r="E981" t="str">
            <v xml:space="preserve">	</v>
          </cell>
          <cell r="F981">
            <v>2.2599999999999998</v>
          </cell>
        </row>
        <row r="982">
          <cell r="A982" t="str">
            <v>h2-txc-2901</v>
          </cell>
          <cell r="B982" t="str">
            <v>h2</v>
          </cell>
          <cell r="C982" t="str">
            <v>txc</v>
          </cell>
          <cell r="D982">
            <v>2901</v>
          </cell>
          <cell r="E982" t="str">
            <v xml:space="preserve">	</v>
          </cell>
          <cell r="F982">
            <v>5.89</v>
          </cell>
        </row>
        <row r="983">
          <cell r="A983" t="str">
            <v>h2-txc-2902</v>
          </cell>
          <cell r="B983" t="str">
            <v>h2</v>
          </cell>
          <cell r="C983" t="str">
            <v>txc</v>
          </cell>
          <cell r="D983">
            <v>2902</v>
          </cell>
          <cell r="E983" t="str">
            <v xml:space="preserve">	</v>
          </cell>
          <cell r="F983">
            <v>4.46</v>
          </cell>
        </row>
        <row r="984">
          <cell r="A984" t="str">
            <v>h2-txc-2911</v>
          </cell>
          <cell r="B984" t="str">
            <v>h2</v>
          </cell>
          <cell r="C984" t="str">
            <v>txc</v>
          </cell>
          <cell r="D984">
            <v>2911</v>
          </cell>
          <cell r="E984" t="str">
            <v xml:space="preserve">	</v>
          </cell>
          <cell r="F984">
            <v>0.28999999999999998</v>
          </cell>
        </row>
        <row r="985">
          <cell r="A985" t="str">
            <v>h2-txc-2912</v>
          </cell>
          <cell r="B985" t="str">
            <v>h2</v>
          </cell>
          <cell r="C985" t="str">
            <v>txc</v>
          </cell>
          <cell r="D985">
            <v>2912</v>
          </cell>
          <cell r="E985" t="str">
            <v xml:space="preserve">	</v>
          </cell>
          <cell r="F985">
            <v>0.23</v>
          </cell>
        </row>
        <row r="986">
          <cell r="A986" t="str">
            <v>h2-txc-301</v>
          </cell>
          <cell r="B986" t="str">
            <v>h2</v>
          </cell>
          <cell r="C986" t="str">
            <v>txc</v>
          </cell>
          <cell r="D986">
            <v>301</v>
          </cell>
          <cell r="E986" t="str">
            <v xml:space="preserve">	</v>
          </cell>
          <cell r="F986">
            <v>11.31</v>
          </cell>
        </row>
        <row r="987">
          <cell r="A987" t="str">
            <v>h2-txc-302</v>
          </cell>
          <cell r="B987" t="str">
            <v>h2</v>
          </cell>
          <cell r="C987" t="str">
            <v>txc</v>
          </cell>
          <cell r="D987">
            <v>302</v>
          </cell>
          <cell r="E987" t="str">
            <v xml:space="preserve">	</v>
          </cell>
          <cell r="F987">
            <v>2.15</v>
          </cell>
        </row>
        <row r="988">
          <cell r="A988" t="str">
            <v>h2-txc-311</v>
          </cell>
          <cell r="B988" t="str">
            <v>h2</v>
          </cell>
          <cell r="C988" t="str">
            <v>txc</v>
          </cell>
          <cell r="D988">
            <v>311</v>
          </cell>
          <cell r="E988" t="str">
            <v xml:space="preserve">	</v>
          </cell>
          <cell r="F988">
            <v>8.2100000000000009</v>
          </cell>
        </row>
        <row r="989">
          <cell r="A989" t="str">
            <v>h2-txc-3131</v>
          </cell>
          <cell r="B989" t="str">
            <v>h2</v>
          </cell>
          <cell r="C989" t="str">
            <v>txc</v>
          </cell>
          <cell r="D989">
            <v>3131</v>
          </cell>
          <cell r="E989" t="str">
            <v xml:space="preserve">	</v>
          </cell>
          <cell r="F989">
            <v>3.91</v>
          </cell>
        </row>
        <row r="990">
          <cell r="A990" t="str">
            <v>h2-txc-3132</v>
          </cell>
          <cell r="B990" t="str">
            <v>h2</v>
          </cell>
          <cell r="C990" t="str">
            <v>txc</v>
          </cell>
          <cell r="D990">
            <v>3132</v>
          </cell>
          <cell r="E990" t="str">
            <v xml:space="preserve">	</v>
          </cell>
          <cell r="F990">
            <v>41.57</v>
          </cell>
        </row>
        <row r="991">
          <cell r="A991" t="str">
            <v>h2-txc-3101</v>
          </cell>
          <cell r="B991" t="str">
            <v>h2</v>
          </cell>
          <cell r="C991" t="str">
            <v>txc</v>
          </cell>
          <cell r="D991">
            <v>3101</v>
          </cell>
          <cell r="E991" t="str">
            <v xml:space="preserve">	</v>
          </cell>
          <cell r="F991">
            <v>0.52</v>
          </cell>
        </row>
        <row r="992">
          <cell r="A992" t="str">
            <v>h2-txc-3102</v>
          </cell>
          <cell r="B992" t="str">
            <v>h2</v>
          </cell>
          <cell r="C992" t="str">
            <v>txc</v>
          </cell>
          <cell r="D992">
            <v>3102</v>
          </cell>
          <cell r="E992" t="str">
            <v xml:space="preserve">	</v>
          </cell>
          <cell r="F992">
            <v>0.67</v>
          </cell>
        </row>
        <row r="993">
          <cell r="A993" t="str">
            <v>h2-txc-3111</v>
          </cell>
          <cell r="B993" t="str">
            <v>h2</v>
          </cell>
          <cell r="C993" t="str">
            <v>txc</v>
          </cell>
          <cell r="D993">
            <v>3111</v>
          </cell>
          <cell r="E993" t="str">
            <v xml:space="preserve">	</v>
          </cell>
          <cell r="F993">
            <v>0.53</v>
          </cell>
        </row>
        <row r="994">
          <cell r="A994" t="str">
            <v>h2-txc-3112</v>
          </cell>
          <cell r="B994" t="str">
            <v>h2</v>
          </cell>
          <cell r="C994" t="str">
            <v>txc</v>
          </cell>
          <cell r="D994">
            <v>3112</v>
          </cell>
          <cell r="E994" t="str">
            <v xml:space="preserve">	</v>
          </cell>
          <cell r="F994">
            <v>0.6</v>
          </cell>
        </row>
        <row r="995">
          <cell r="A995" t="str">
            <v>h2-txc-3211</v>
          </cell>
          <cell r="B995" t="str">
            <v>h2</v>
          </cell>
          <cell r="C995" t="str">
            <v>txc</v>
          </cell>
          <cell r="D995">
            <v>3211</v>
          </cell>
          <cell r="E995" t="str">
            <v xml:space="preserve">	</v>
          </cell>
          <cell r="F995">
            <v>0.6</v>
          </cell>
        </row>
        <row r="996">
          <cell r="A996" t="str">
            <v>h2-txc-3212</v>
          </cell>
          <cell r="B996" t="str">
            <v>h2</v>
          </cell>
          <cell r="C996" t="str">
            <v>txc</v>
          </cell>
          <cell r="D996">
            <v>3212</v>
          </cell>
          <cell r="E996" t="str">
            <v xml:space="preserve">	</v>
          </cell>
          <cell r="F996">
            <v>3.98</v>
          </cell>
        </row>
        <row r="997">
          <cell r="A997" t="str">
            <v>h2-txc-3201</v>
          </cell>
          <cell r="B997" t="str">
            <v>h2</v>
          </cell>
          <cell r="C997" t="str">
            <v>txc</v>
          </cell>
          <cell r="D997">
            <v>3201</v>
          </cell>
          <cell r="E997" t="str">
            <v xml:space="preserve">	</v>
          </cell>
          <cell r="F997">
            <v>0.46</v>
          </cell>
        </row>
        <row r="998">
          <cell r="A998" t="str">
            <v>h2-txc-3202</v>
          </cell>
          <cell r="B998" t="str">
            <v>h2</v>
          </cell>
          <cell r="C998" t="str">
            <v>txc</v>
          </cell>
          <cell r="D998">
            <v>3202</v>
          </cell>
          <cell r="E998" t="str">
            <v xml:space="preserve">	</v>
          </cell>
          <cell r="F998">
            <v>0.4</v>
          </cell>
        </row>
        <row r="999">
          <cell r="A999" t="str">
            <v>h2-txc-3301</v>
          </cell>
          <cell r="B999" t="str">
            <v>h2</v>
          </cell>
          <cell r="C999" t="str">
            <v>txc</v>
          </cell>
          <cell r="D999">
            <v>3301</v>
          </cell>
          <cell r="E999" t="str">
            <v xml:space="preserve">	</v>
          </cell>
          <cell r="F999">
            <v>0.47</v>
          </cell>
        </row>
        <row r="1000">
          <cell r="A1000" t="str">
            <v>h2-txc-3302</v>
          </cell>
          <cell r="B1000" t="str">
            <v>h2</v>
          </cell>
          <cell r="C1000" t="str">
            <v>txc</v>
          </cell>
          <cell r="D1000">
            <v>3302</v>
          </cell>
          <cell r="E1000" t="str">
            <v xml:space="preserve">	</v>
          </cell>
          <cell r="F1000">
            <v>16.489999999999998</v>
          </cell>
        </row>
        <row r="1001">
          <cell r="A1001" t="str">
            <v>h2-txc-3311</v>
          </cell>
          <cell r="B1001" t="str">
            <v>h2</v>
          </cell>
          <cell r="C1001" t="str">
            <v>txc</v>
          </cell>
          <cell r="D1001">
            <v>3311</v>
          </cell>
          <cell r="E1001" t="str">
            <v xml:space="preserve">	</v>
          </cell>
          <cell r="F1001">
            <v>4.84</v>
          </cell>
        </row>
        <row r="1002">
          <cell r="A1002" t="str">
            <v>h2-txc-3312</v>
          </cell>
          <cell r="B1002" t="str">
            <v>h2</v>
          </cell>
          <cell r="C1002" t="str">
            <v>txc</v>
          </cell>
          <cell r="D1002">
            <v>3312</v>
          </cell>
          <cell r="E1002" t="str">
            <v xml:space="preserve">	</v>
          </cell>
          <cell r="F1002">
            <v>0.66</v>
          </cell>
        </row>
        <row r="1003">
          <cell r="A1003" t="str">
            <v>h2-txc-33301</v>
          </cell>
          <cell r="B1003" t="str">
            <v>h2</v>
          </cell>
          <cell r="C1003" t="str">
            <v>txc</v>
          </cell>
          <cell r="D1003">
            <v>33301</v>
          </cell>
          <cell r="E1003" t="str">
            <v xml:space="preserve">	</v>
          </cell>
          <cell r="F1003">
            <v>0.3</v>
          </cell>
        </row>
        <row r="1004">
          <cell r="A1004" t="str">
            <v>h2-txc-33302</v>
          </cell>
          <cell r="B1004" t="str">
            <v>h2</v>
          </cell>
          <cell r="C1004" t="str">
            <v>txc</v>
          </cell>
          <cell r="D1004">
            <v>33302</v>
          </cell>
          <cell r="E1004" t="str">
            <v xml:space="preserve">	</v>
          </cell>
          <cell r="F1004">
            <v>6.13</v>
          </cell>
        </row>
        <row r="1005">
          <cell r="A1005" t="str">
            <v>h2-txc-3401</v>
          </cell>
          <cell r="B1005" t="str">
            <v>h2</v>
          </cell>
          <cell r="C1005" t="str">
            <v>txc</v>
          </cell>
          <cell r="D1005">
            <v>3401</v>
          </cell>
          <cell r="E1005" t="str">
            <v xml:space="preserve">	</v>
          </cell>
          <cell r="F1005">
            <v>0.51</v>
          </cell>
        </row>
        <row r="1006">
          <cell r="A1006" t="str">
            <v>h2-txc-3402</v>
          </cell>
          <cell r="B1006" t="str">
            <v>h2</v>
          </cell>
          <cell r="C1006" t="str">
            <v>txc</v>
          </cell>
          <cell r="D1006">
            <v>3402</v>
          </cell>
          <cell r="E1006" t="str">
            <v xml:space="preserve">	</v>
          </cell>
          <cell r="F1006">
            <v>3.95</v>
          </cell>
        </row>
        <row r="1007">
          <cell r="A1007" t="str">
            <v>h2-txc-3501</v>
          </cell>
          <cell r="B1007" t="str">
            <v>h2</v>
          </cell>
          <cell r="C1007" t="str">
            <v>txc</v>
          </cell>
          <cell r="D1007">
            <v>3501</v>
          </cell>
          <cell r="E1007" t="str">
            <v xml:space="preserve">	</v>
          </cell>
          <cell r="F1007">
            <v>1.88</v>
          </cell>
        </row>
        <row r="1008">
          <cell r="A1008" t="str">
            <v>h2-txc-3502</v>
          </cell>
          <cell r="B1008" t="str">
            <v>h2</v>
          </cell>
          <cell r="C1008" t="str">
            <v>txc</v>
          </cell>
          <cell r="D1008">
            <v>3502</v>
          </cell>
          <cell r="E1008" t="str">
            <v xml:space="preserve">	</v>
          </cell>
          <cell r="F1008">
            <v>0.45</v>
          </cell>
        </row>
        <row r="1009">
          <cell r="A1009" t="str">
            <v>h2-txc-3511</v>
          </cell>
          <cell r="B1009" t="str">
            <v>h2</v>
          </cell>
          <cell r="C1009" t="str">
            <v>txc</v>
          </cell>
          <cell r="D1009">
            <v>3511</v>
          </cell>
          <cell r="E1009" t="str">
            <v xml:space="preserve">	</v>
          </cell>
          <cell r="F1009">
            <v>26.96</v>
          </cell>
        </row>
        <row r="1010">
          <cell r="A1010" t="str">
            <v>h2-txc-3512</v>
          </cell>
          <cell r="B1010" t="str">
            <v>h2</v>
          </cell>
          <cell r="C1010" t="str">
            <v>txc</v>
          </cell>
          <cell r="D1010">
            <v>3512</v>
          </cell>
          <cell r="E1010" t="str">
            <v xml:space="preserve">	</v>
          </cell>
          <cell r="F1010">
            <v>2.0299999999999998</v>
          </cell>
        </row>
        <row r="1011">
          <cell r="A1011" t="str">
            <v>h2-txc-3601</v>
          </cell>
          <cell r="B1011" t="str">
            <v>h2</v>
          </cell>
          <cell r="C1011" t="str">
            <v>txc</v>
          </cell>
          <cell r="D1011">
            <v>3601</v>
          </cell>
          <cell r="E1011" t="str">
            <v xml:space="preserve">	</v>
          </cell>
          <cell r="F1011">
            <v>0.46</v>
          </cell>
        </row>
        <row r="1012">
          <cell r="A1012" t="str">
            <v>h2-txc-3602</v>
          </cell>
          <cell r="B1012" t="str">
            <v>h2</v>
          </cell>
          <cell r="C1012" t="str">
            <v>txc</v>
          </cell>
          <cell r="D1012">
            <v>3602</v>
          </cell>
          <cell r="E1012" t="str">
            <v xml:space="preserve">	</v>
          </cell>
          <cell r="F1012">
            <v>0.72</v>
          </cell>
        </row>
        <row r="1013">
          <cell r="A1013" t="str">
            <v>h2-txc-3801</v>
          </cell>
          <cell r="B1013" t="str">
            <v>h2</v>
          </cell>
          <cell r="C1013" t="str">
            <v>txc</v>
          </cell>
          <cell r="D1013">
            <v>3801</v>
          </cell>
          <cell r="E1013" t="str">
            <v xml:space="preserve">	</v>
          </cell>
          <cell r="F1013">
            <v>3.78</v>
          </cell>
        </row>
        <row r="1014">
          <cell r="A1014" t="str">
            <v>h2-txc-3802</v>
          </cell>
          <cell r="B1014" t="str">
            <v>h2</v>
          </cell>
          <cell r="C1014" t="str">
            <v>txc</v>
          </cell>
          <cell r="D1014">
            <v>3802</v>
          </cell>
          <cell r="E1014" t="str">
            <v xml:space="preserve">	</v>
          </cell>
          <cell r="F1014">
            <v>3.56</v>
          </cell>
        </row>
        <row r="1015">
          <cell r="A1015" t="str">
            <v>h2-txc-3901</v>
          </cell>
          <cell r="B1015" t="str">
            <v>h2</v>
          </cell>
          <cell r="C1015" t="str">
            <v>txc</v>
          </cell>
          <cell r="D1015">
            <v>3901</v>
          </cell>
          <cell r="E1015" t="str">
            <v xml:space="preserve">	</v>
          </cell>
          <cell r="F1015">
            <v>1.19</v>
          </cell>
        </row>
        <row r="1016">
          <cell r="A1016" t="str">
            <v>h2-txc-3902</v>
          </cell>
          <cell r="B1016" t="str">
            <v>h2</v>
          </cell>
          <cell r="C1016" t="str">
            <v>txc</v>
          </cell>
          <cell r="D1016">
            <v>3902</v>
          </cell>
          <cell r="E1016" t="str">
            <v xml:space="preserve">	</v>
          </cell>
          <cell r="F1016">
            <v>54.71</v>
          </cell>
        </row>
        <row r="1017">
          <cell r="A1017" t="str">
            <v>h2-txc-3911</v>
          </cell>
          <cell r="B1017" t="str">
            <v>h2</v>
          </cell>
          <cell r="C1017" t="str">
            <v>txc</v>
          </cell>
          <cell r="D1017">
            <v>3911</v>
          </cell>
          <cell r="E1017" t="str">
            <v xml:space="preserve">	</v>
          </cell>
          <cell r="F1017">
            <v>1.88</v>
          </cell>
        </row>
        <row r="1018">
          <cell r="A1018" t="str">
            <v>h2-txc-3912</v>
          </cell>
          <cell r="B1018" t="str">
            <v>h2</v>
          </cell>
          <cell r="C1018" t="str">
            <v>txc</v>
          </cell>
          <cell r="D1018">
            <v>3912</v>
          </cell>
          <cell r="E1018" t="str">
            <v xml:space="preserve">	</v>
          </cell>
          <cell r="F1018">
            <v>0.2</v>
          </cell>
        </row>
        <row r="1019">
          <cell r="A1019" t="str">
            <v>h2-txc-3921</v>
          </cell>
          <cell r="B1019" t="str">
            <v>h2</v>
          </cell>
          <cell r="C1019" t="str">
            <v>txc</v>
          </cell>
          <cell r="D1019">
            <v>3921</v>
          </cell>
          <cell r="E1019" t="str">
            <v xml:space="preserve">	</v>
          </cell>
          <cell r="F1019">
            <v>0.43</v>
          </cell>
        </row>
        <row r="1020">
          <cell r="A1020" t="str">
            <v>h2-txc-3922</v>
          </cell>
          <cell r="B1020" t="str">
            <v>h2</v>
          </cell>
          <cell r="C1020" t="str">
            <v>txc</v>
          </cell>
          <cell r="D1020">
            <v>3922</v>
          </cell>
          <cell r="E1020" t="str">
            <v xml:space="preserve">	</v>
          </cell>
          <cell r="F1020">
            <v>0.23</v>
          </cell>
        </row>
        <row r="1021">
          <cell r="A1021" t="str">
            <v>h2-txc-3931</v>
          </cell>
          <cell r="B1021" t="str">
            <v>h2</v>
          </cell>
          <cell r="C1021" t="str">
            <v>txc</v>
          </cell>
          <cell r="D1021">
            <v>3931</v>
          </cell>
          <cell r="E1021" t="str">
            <v xml:space="preserve">	</v>
          </cell>
          <cell r="F1021">
            <v>1.1100000000000001</v>
          </cell>
        </row>
        <row r="1022">
          <cell r="A1022" t="str">
            <v>h2-txc-3932</v>
          </cell>
          <cell r="B1022" t="str">
            <v>h2</v>
          </cell>
          <cell r="C1022" t="str">
            <v>txc</v>
          </cell>
          <cell r="D1022">
            <v>3932</v>
          </cell>
          <cell r="E1022" t="str">
            <v xml:space="preserve">	</v>
          </cell>
          <cell r="F1022">
            <v>5.5</v>
          </cell>
        </row>
        <row r="1023">
          <cell r="A1023" t="str">
            <v>h2-txc-321</v>
          </cell>
          <cell r="B1023" t="str">
            <v>h2</v>
          </cell>
          <cell r="C1023" t="str">
            <v>txc</v>
          </cell>
          <cell r="D1023">
            <v>321</v>
          </cell>
          <cell r="E1023" t="str">
            <v xml:space="preserve">	</v>
          </cell>
          <cell r="F1023">
            <v>0.32</v>
          </cell>
        </row>
        <row r="1024">
          <cell r="A1024" t="str">
            <v>h2-txc-322</v>
          </cell>
          <cell r="B1024" t="str">
            <v>h2</v>
          </cell>
          <cell r="C1024" t="str">
            <v>txc</v>
          </cell>
          <cell r="D1024">
            <v>322</v>
          </cell>
          <cell r="E1024" t="str">
            <v xml:space="preserve">	</v>
          </cell>
          <cell r="F1024">
            <v>9.52</v>
          </cell>
        </row>
        <row r="1025">
          <cell r="A1025" t="str">
            <v>h2-txc-401</v>
          </cell>
          <cell r="B1025" t="str">
            <v>h2</v>
          </cell>
          <cell r="C1025" t="str">
            <v>txc</v>
          </cell>
          <cell r="D1025">
            <v>401</v>
          </cell>
          <cell r="E1025" t="str">
            <v xml:space="preserve">	</v>
          </cell>
          <cell r="F1025">
            <v>9.01</v>
          </cell>
        </row>
        <row r="1026">
          <cell r="A1026" t="str">
            <v>h2-txc-402</v>
          </cell>
          <cell r="B1026" t="str">
            <v>h2</v>
          </cell>
          <cell r="C1026" t="str">
            <v>txc</v>
          </cell>
          <cell r="D1026">
            <v>402</v>
          </cell>
          <cell r="E1026" t="str">
            <v xml:space="preserve">	</v>
          </cell>
          <cell r="F1026">
            <v>13.36</v>
          </cell>
        </row>
        <row r="1027">
          <cell r="A1027" t="str">
            <v>h2-txc-4001</v>
          </cell>
          <cell r="B1027" t="str">
            <v>h2</v>
          </cell>
          <cell r="C1027" t="str">
            <v>txc</v>
          </cell>
          <cell r="D1027">
            <v>4001</v>
          </cell>
          <cell r="E1027" t="str">
            <v xml:space="preserve">	</v>
          </cell>
          <cell r="F1027">
            <v>3.71</v>
          </cell>
        </row>
        <row r="1028">
          <cell r="A1028" t="str">
            <v>h2-txc-4002</v>
          </cell>
          <cell r="B1028" t="str">
            <v>h2</v>
          </cell>
          <cell r="C1028" t="str">
            <v>txc</v>
          </cell>
          <cell r="D1028">
            <v>4002</v>
          </cell>
          <cell r="E1028" t="str">
            <v xml:space="preserve">	</v>
          </cell>
          <cell r="F1028">
            <v>0.14000000000000001</v>
          </cell>
        </row>
        <row r="1029">
          <cell r="A1029" t="str">
            <v>h2-txc-4011</v>
          </cell>
          <cell r="B1029" t="str">
            <v>h2</v>
          </cell>
          <cell r="C1029" t="str">
            <v>txc</v>
          </cell>
          <cell r="D1029">
            <v>4011</v>
          </cell>
          <cell r="E1029" t="str">
            <v xml:space="preserve">	</v>
          </cell>
          <cell r="F1029">
            <v>0.13</v>
          </cell>
        </row>
        <row r="1030">
          <cell r="A1030" t="str">
            <v>h2-txc-4012</v>
          </cell>
          <cell r="B1030" t="str">
            <v>h2</v>
          </cell>
          <cell r="C1030" t="str">
            <v>txc</v>
          </cell>
          <cell r="D1030">
            <v>4012</v>
          </cell>
          <cell r="E1030" t="str">
            <v xml:space="preserve">	</v>
          </cell>
          <cell r="F1030">
            <v>0.14000000000000001</v>
          </cell>
        </row>
        <row r="1031">
          <cell r="A1031" t="str">
            <v>h2-txc-4101</v>
          </cell>
          <cell r="B1031" t="str">
            <v>h2</v>
          </cell>
          <cell r="C1031" t="str">
            <v>txc</v>
          </cell>
          <cell r="D1031">
            <v>4101</v>
          </cell>
          <cell r="E1031" t="str">
            <v xml:space="preserve">	</v>
          </cell>
          <cell r="F1031">
            <v>2.12</v>
          </cell>
        </row>
        <row r="1032">
          <cell r="A1032" t="str">
            <v>h2-txc-4102</v>
          </cell>
          <cell r="B1032" t="str">
            <v>h2</v>
          </cell>
          <cell r="C1032" t="str">
            <v>txc</v>
          </cell>
          <cell r="D1032">
            <v>4102</v>
          </cell>
          <cell r="E1032" t="str">
            <v xml:space="preserve">	</v>
          </cell>
          <cell r="F1032">
            <v>1.92</v>
          </cell>
        </row>
        <row r="1033">
          <cell r="A1033" t="str">
            <v>h2-txc-4201</v>
          </cell>
          <cell r="B1033" t="str">
            <v>h2</v>
          </cell>
          <cell r="C1033" t="str">
            <v>txc</v>
          </cell>
          <cell r="D1033">
            <v>4201</v>
          </cell>
          <cell r="E1033" t="str">
            <v xml:space="preserve">	</v>
          </cell>
          <cell r="F1033">
            <v>9.07</v>
          </cell>
        </row>
        <row r="1034">
          <cell r="A1034" t="str">
            <v>h2-txc-4202</v>
          </cell>
          <cell r="B1034" t="str">
            <v>h2</v>
          </cell>
          <cell r="C1034" t="str">
            <v>txc</v>
          </cell>
          <cell r="D1034">
            <v>4202</v>
          </cell>
          <cell r="E1034" t="str">
            <v xml:space="preserve">	</v>
          </cell>
          <cell r="F1034">
            <v>0.49</v>
          </cell>
        </row>
        <row r="1035">
          <cell r="A1035" t="str">
            <v>h2-txc-4301</v>
          </cell>
          <cell r="B1035" t="str">
            <v>h2</v>
          </cell>
          <cell r="C1035" t="str">
            <v>txc</v>
          </cell>
          <cell r="D1035">
            <v>4301</v>
          </cell>
          <cell r="E1035" t="str">
            <v xml:space="preserve">	</v>
          </cell>
          <cell r="F1035">
            <v>15.75</v>
          </cell>
        </row>
        <row r="1036">
          <cell r="A1036" t="str">
            <v>h2-txc-4302</v>
          </cell>
          <cell r="B1036" t="str">
            <v>h2</v>
          </cell>
          <cell r="C1036" t="str">
            <v>txc</v>
          </cell>
          <cell r="D1036">
            <v>4302</v>
          </cell>
          <cell r="E1036" t="str">
            <v xml:space="preserve">	</v>
          </cell>
          <cell r="F1036">
            <v>0.72</v>
          </cell>
        </row>
        <row r="1037">
          <cell r="A1037" t="str">
            <v>h2-txc-4411</v>
          </cell>
          <cell r="B1037" t="str">
            <v>h2</v>
          </cell>
          <cell r="C1037" t="str">
            <v>txc</v>
          </cell>
          <cell r="D1037">
            <v>4411</v>
          </cell>
          <cell r="E1037" t="str">
            <v xml:space="preserve">	</v>
          </cell>
          <cell r="F1037">
            <v>0.7</v>
          </cell>
        </row>
        <row r="1038">
          <cell r="A1038" t="str">
            <v>h2-txc-4412</v>
          </cell>
          <cell r="B1038" t="str">
            <v>h2</v>
          </cell>
          <cell r="C1038" t="str">
            <v>txc</v>
          </cell>
          <cell r="D1038">
            <v>4412</v>
          </cell>
          <cell r="E1038" t="str">
            <v xml:space="preserve">	</v>
          </cell>
          <cell r="F1038">
            <v>1.97</v>
          </cell>
        </row>
        <row r="1039">
          <cell r="A1039" t="str">
            <v>h2-txc-4401</v>
          </cell>
          <cell r="B1039" t="str">
            <v>h2</v>
          </cell>
          <cell r="C1039" t="str">
            <v>txc</v>
          </cell>
          <cell r="D1039">
            <v>4401</v>
          </cell>
          <cell r="E1039" t="str">
            <v xml:space="preserve">	</v>
          </cell>
          <cell r="F1039">
            <v>26.23</v>
          </cell>
        </row>
        <row r="1040">
          <cell r="A1040" t="str">
            <v>h2-txc-4402</v>
          </cell>
          <cell r="B1040" t="str">
            <v>h2</v>
          </cell>
          <cell r="C1040" t="str">
            <v>txc</v>
          </cell>
          <cell r="D1040">
            <v>4402</v>
          </cell>
          <cell r="E1040" t="str">
            <v xml:space="preserve">	</v>
          </cell>
          <cell r="F1040">
            <v>6.32</v>
          </cell>
        </row>
        <row r="1041">
          <cell r="A1041" t="str">
            <v>h2-txc-4501</v>
          </cell>
          <cell r="B1041" t="str">
            <v>h2</v>
          </cell>
          <cell r="C1041" t="str">
            <v>txc</v>
          </cell>
          <cell r="D1041">
            <v>4501</v>
          </cell>
          <cell r="E1041" t="str">
            <v xml:space="preserve">	</v>
          </cell>
          <cell r="F1041">
            <v>0.26</v>
          </cell>
        </row>
        <row r="1042">
          <cell r="A1042" t="str">
            <v>h2-txc-4502</v>
          </cell>
          <cell r="B1042" t="str">
            <v>h2</v>
          </cell>
          <cell r="C1042" t="str">
            <v>txc</v>
          </cell>
          <cell r="D1042">
            <v>4502</v>
          </cell>
          <cell r="E1042" t="str">
            <v xml:space="preserve">	</v>
          </cell>
          <cell r="F1042">
            <v>0.72</v>
          </cell>
        </row>
        <row r="1043">
          <cell r="A1043" t="str">
            <v>h2-txc-4511</v>
          </cell>
          <cell r="B1043" t="str">
            <v>h2</v>
          </cell>
          <cell r="C1043" t="str">
            <v>txc</v>
          </cell>
          <cell r="D1043">
            <v>4511</v>
          </cell>
          <cell r="E1043" t="str">
            <v xml:space="preserve">	</v>
          </cell>
          <cell r="F1043">
            <v>31</v>
          </cell>
        </row>
        <row r="1044">
          <cell r="A1044" t="str">
            <v>h2-txc-4512</v>
          </cell>
          <cell r="B1044" t="str">
            <v>h2</v>
          </cell>
          <cell r="C1044" t="str">
            <v>txc</v>
          </cell>
          <cell r="D1044">
            <v>4512</v>
          </cell>
          <cell r="E1044" t="str">
            <v xml:space="preserve">	</v>
          </cell>
          <cell r="F1044">
            <v>5.88</v>
          </cell>
        </row>
        <row r="1045">
          <cell r="A1045" t="str">
            <v>h2-txc-4601</v>
          </cell>
          <cell r="B1045" t="str">
            <v>h2</v>
          </cell>
          <cell r="C1045" t="str">
            <v>txc</v>
          </cell>
          <cell r="D1045">
            <v>4601</v>
          </cell>
          <cell r="E1045" t="str">
            <v xml:space="preserve">	</v>
          </cell>
          <cell r="F1045">
            <v>0.2</v>
          </cell>
        </row>
        <row r="1046">
          <cell r="A1046" t="str">
            <v>h2-txc-4602</v>
          </cell>
          <cell r="B1046" t="str">
            <v>h2</v>
          </cell>
          <cell r="C1046" t="str">
            <v>txc</v>
          </cell>
          <cell r="D1046">
            <v>4602</v>
          </cell>
          <cell r="E1046" t="str">
            <v xml:space="preserve">	</v>
          </cell>
          <cell r="F1046">
            <v>2.35</v>
          </cell>
        </row>
        <row r="1047">
          <cell r="A1047" t="str">
            <v>h2-txc-4711</v>
          </cell>
          <cell r="B1047" t="str">
            <v>h2</v>
          </cell>
          <cell r="C1047" t="str">
            <v>txc</v>
          </cell>
          <cell r="D1047">
            <v>4711</v>
          </cell>
          <cell r="E1047" t="str">
            <v xml:space="preserve">	</v>
          </cell>
          <cell r="F1047">
            <v>92.85</v>
          </cell>
        </row>
        <row r="1048">
          <cell r="A1048" t="str">
            <v>h2-txc-4712</v>
          </cell>
          <cell r="B1048" t="str">
            <v>h2</v>
          </cell>
          <cell r="C1048" t="str">
            <v>txc</v>
          </cell>
          <cell r="D1048">
            <v>4712</v>
          </cell>
          <cell r="E1048" t="str">
            <v xml:space="preserve">	</v>
          </cell>
          <cell r="F1048">
            <v>2.92</v>
          </cell>
        </row>
        <row r="1049">
          <cell r="A1049" t="str">
            <v>h2-txc-4701</v>
          </cell>
          <cell r="B1049" t="str">
            <v>h2</v>
          </cell>
          <cell r="C1049" t="str">
            <v>txc</v>
          </cell>
          <cell r="D1049">
            <v>4701</v>
          </cell>
          <cell r="E1049" t="str">
            <v xml:space="preserve">	</v>
          </cell>
          <cell r="F1049">
            <v>1.3</v>
          </cell>
        </row>
        <row r="1050">
          <cell r="A1050" t="str">
            <v>h2-txc-4702</v>
          </cell>
          <cell r="B1050" t="str">
            <v>h2</v>
          </cell>
          <cell r="C1050" t="str">
            <v>txc</v>
          </cell>
          <cell r="D1050">
            <v>4702</v>
          </cell>
          <cell r="E1050" t="str">
            <v xml:space="preserve">	</v>
          </cell>
          <cell r="F1050">
            <v>0.24</v>
          </cell>
        </row>
        <row r="1051">
          <cell r="A1051" t="str">
            <v>h2-txc-4801</v>
          </cell>
          <cell r="B1051" t="str">
            <v>h2</v>
          </cell>
          <cell r="C1051" t="str">
            <v>txc</v>
          </cell>
          <cell r="D1051">
            <v>4801</v>
          </cell>
          <cell r="E1051" t="str">
            <v xml:space="preserve">	</v>
          </cell>
          <cell r="F1051">
            <v>9.67</v>
          </cell>
        </row>
        <row r="1052">
          <cell r="A1052" t="str">
            <v>h2-txc-4802</v>
          </cell>
          <cell r="B1052" t="str">
            <v>h2</v>
          </cell>
          <cell r="C1052" t="str">
            <v>txc</v>
          </cell>
          <cell r="D1052">
            <v>4802</v>
          </cell>
          <cell r="E1052" t="str">
            <v xml:space="preserve">	</v>
          </cell>
          <cell r="F1052">
            <v>3.69</v>
          </cell>
        </row>
        <row r="1053">
          <cell r="A1053" t="str">
            <v>h2-txc-4811</v>
          </cell>
          <cell r="B1053" t="str">
            <v>h2</v>
          </cell>
          <cell r="C1053" t="str">
            <v>txc</v>
          </cell>
          <cell r="D1053">
            <v>4811</v>
          </cell>
          <cell r="E1053" t="str">
            <v xml:space="preserve">	</v>
          </cell>
          <cell r="F1053">
            <v>32.11</v>
          </cell>
        </row>
        <row r="1054">
          <cell r="A1054" t="str">
            <v>h2-txc-4812</v>
          </cell>
          <cell r="B1054" t="str">
            <v>h2</v>
          </cell>
          <cell r="C1054" t="str">
            <v>txc</v>
          </cell>
          <cell r="D1054">
            <v>4812</v>
          </cell>
          <cell r="E1054" t="str">
            <v xml:space="preserve">	</v>
          </cell>
          <cell r="F1054">
            <v>8.56</v>
          </cell>
        </row>
        <row r="1055">
          <cell r="A1055" t="str">
            <v>h2-txc-4921</v>
          </cell>
          <cell r="B1055" t="str">
            <v>h2</v>
          </cell>
          <cell r="C1055" t="str">
            <v>txc</v>
          </cell>
          <cell r="D1055">
            <v>4921</v>
          </cell>
          <cell r="E1055" t="str">
            <v xml:space="preserve">	</v>
          </cell>
          <cell r="F1055">
            <v>77.45</v>
          </cell>
        </row>
        <row r="1056">
          <cell r="A1056" t="str">
            <v>h2-txc-4922</v>
          </cell>
          <cell r="B1056" t="str">
            <v>h2</v>
          </cell>
          <cell r="C1056" t="str">
            <v>txc</v>
          </cell>
          <cell r="D1056">
            <v>4922</v>
          </cell>
          <cell r="E1056" t="str">
            <v xml:space="preserve">	</v>
          </cell>
          <cell r="F1056">
            <v>6.74</v>
          </cell>
        </row>
        <row r="1057">
          <cell r="A1057" t="str">
            <v>h2-txc-4911</v>
          </cell>
          <cell r="B1057" t="str">
            <v>h2</v>
          </cell>
          <cell r="C1057" t="str">
            <v>txc</v>
          </cell>
          <cell r="D1057">
            <v>4911</v>
          </cell>
          <cell r="E1057" t="str">
            <v xml:space="preserve">	</v>
          </cell>
          <cell r="F1057">
            <v>3.86</v>
          </cell>
        </row>
        <row r="1058">
          <cell r="A1058" t="str">
            <v>h2-txc-4912</v>
          </cell>
          <cell r="B1058" t="str">
            <v>h2</v>
          </cell>
          <cell r="C1058" t="str">
            <v>txc</v>
          </cell>
          <cell r="D1058">
            <v>4912</v>
          </cell>
          <cell r="E1058" t="str">
            <v xml:space="preserve">	</v>
          </cell>
          <cell r="F1058">
            <v>1.33</v>
          </cell>
        </row>
        <row r="1059">
          <cell r="A1059" t="str">
            <v>h2-txc-4901</v>
          </cell>
          <cell r="B1059" t="str">
            <v>h2</v>
          </cell>
          <cell r="C1059" t="str">
            <v>txc</v>
          </cell>
          <cell r="D1059">
            <v>4901</v>
          </cell>
          <cell r="E1059" t="str">
            <v xml:space="preserve">	</v>
          </cell>
          <cell r="F1059">
            <v>4.8899999999999997</v>
          </cell>
        </row>
        <row r="1060">
          <cell r="A1060" t="str">
            <v>h2-txc-4902</v>
          </cell>
          <cell r="B1060" t="str">
            <v>h2</v>
          </cell>
          <cell r="C1060" t="str">
            <v>txc</v>
          </cell>
          <cell r="D1060">
            <v>4902</v>
          </cell>
          <cell r="E1060" t="str">
            <v xml:space="preserve">	</v>
          </cell>
          <cell r="F1060">
            <v>4.6100000000000003</v>
          </cell>
        </row>
        <row r="1061">
          <cell r="A1061" t="str">
            <v>h2-txc-501</v>
          </cell>
          <cell r="B1061" t="str">
            <v>h2</v>
          </cell>
          <cell r="C1061" t="str">
            <v>txc</v>
          </cell>
          <cell r="D1061">
            <v>501</v>
          </cell>
          <cell r="E1061" t="str">
            <v xml:space="preserve">	</v>
          </cell>
          <cell r="F1061">
            <v>2.56</v>
          </cell>
        </row>
        <row r="1062">
          <cell r="A1062" t="str">
            <v>h2-txc-502</v>
          </cell>
          <cell r="B1062" t="str">
            <v>h2</v>
          </cell>
          <cell r="C1062" t="str">
            <v>txc</v>
          </cell>
          <cell r="D1062">
            <v>502</v>
          </cell>
          <cell r="E1062" t="str">
            <v xml:space="preserve">	</v>
          </cell>
          <cell r="F1062">
            <v>3.77</v>
          </cell>
        </row>
        <row r="1063">
          <cell r="A1063" t="str">
            <v>h2-txc-5301</v>
          </cell>
          <cell r="B1063" t="str">
            <v>h2</v>
          </cell>
          <cell r="C1063" t="str">
            <v>txc</v>
          </cell>
          <cell r="D1063">
            <v>5301</v>
          </cell>
          <cell r="E1063" t="str">
            <v xml:space="preserve">	</v>
          </cell>
          <cell r="F1063">
            <v>2.88</v>
          </cell>
        </row>
        <row r="1064">
          <cell r="A1064" t="str">
            <v>h2-txc-5302</v>
          </cell>
          <cell r="B1064" t="str">
            <v>h2</v>
          </cell>
          <cell r="C1064" t="str">
            <v>txc</v>
          </cell>
          <cell r="D1064">
            <v>5302</v>
          </cell>
          <cell r="E1064" t="str">
            <v xml:space="preserve">	</v>
          </cell>
          <cell r="F1064">
            <v>0.17</v>
          </cell>
        </row>
        <row r="1065">
          <cell r="A1065" t="str">
            <v>h2-txc-5421</v>
          </cell>
          <cell r="B1065" t="str">
            <v>h2</v>
          </cell>
          <cell r="C1065" t="str">
            <v>txc</v>
          </cell>
          <cell r="D1065">
            <v>5421</v>
          </cell>
          <cell r="E1065" t="str">
            <v xml:space="preserve">	</v>
          </cell>
          <cell r="F1065">
            <v>0.91</v>
          </cell>
        </row>
        <row r="1066">
          <cell r="A1066" t="str">
            <v>h2-txc-5422</v>
          </cell>
          <cell r="B1066" t="str">
            <v>h2</v>
          </cell>
          <cell r="C1066" t="str">
            <v>txc</v>
          </cell>
          <cell r="D1066">
            <v>5422</v>
          </cell>
          <cell r="E1066" t="str">
            <v xml:space="preserve">	</v>
          </cell>
          <cell r="F1066">
            <v>0.13</v>
          </cell>
        </row>
        <row r="1067">
          <cell r="A1067" t="str">
            <v>h2-txc-5411</v>
          </cell>
          <cell r="B1067" t="str">
            <v>h2</v>
          </cell>
          <cell r="C1067" t="str">
            <v>txc</v>
          </cell>
          <cell r="D1067">
            <v>5411</v>
          </cell>
          <cell r="E1067" t="str">
            <v xml:space="preserve">	</v>
          </cell>
          <cell r="F1067">
            <v>11.51</v>
          </cell>
        </row>
        <row r="1068">
          <cell r="A1068" t="str">
            <v>h2-txc-5412</v>
          </cell>
          <cell r="B1068" t="str">
            <v>h2</v>
          </cell>
          <cell r="C1068" t="str">
            <v>txc</v>
          </cell>
          <cell r="D1068">
            <v>5412</v>
          </cell>
          <cell r="E1068" t="str">
            <v xml:space="preserve">	</v>
          </cell>
          <cell r="F1068">
            <v>0.22</v>
          </cell>
        </row>
        <row r="1069">
          <cell r="A1069" t="str">
            <v>h2-txc-5401</v>
          </cell>
          <cell r="B1069" t="str">
            <v>h2</v>
          </cell>
          <cell r="C1069" t="str">
            <v>txc</v>
          </cell>
          <cell r="D1069">
            <v>5401</v>
          </cell>
          <cell r="E1069" t="str">
            <v xml:space="preserve">	</v>
          </cell>
          <cell r="F1069">
            <v>1.23</v>
          </cell>
        </row>
        <row r="1070">
          <cell r="A1070" t="str">
            <v>h2-txc-5402</v>
          </cell>
          <cell r="B1070" t="str">
            <v>h2</v>
          </cell>
          <cell r="C1070" t="str">
            <v>txc</v>
          </cell>
          <cell r="D1070">
            <v>5402</v>
          </cell>
          <cell r="E1070" t="str">
            <v xml:space="preserve">	</v>
          </cell>
          <cell r="F1070">
            <v>9.7100000000000009</v>
          </cell>
        </row>
        <row r="1071">
          <cell r="A1071" t="str">
            <v>h2-txc-5501</v>
          </cell>
          <cell r="B1071" t="str">
            <v>h2</v>
          </cell>
          <cell r="C1071" t="str">
            <v>txc</v>
          </cell>
          <cell r="D1071">
            <v>5501</v>
          </cell>
          <cell r="E1071" t="str">
            <v xml:space="preserve">	</v>
          </cell>
          <cell r="F1071">
            <v>2.31</v>
          </cell>
        </row>
        <row r="1072">
          <cell r="A1072" t="str">
            <v>h2-txc-5502</v>
          </cell>
          <cell r="B1072" t="str">
            <v>h2</v>
          </cell>
          <cell r="C1072" t="str">
            <v>txc</v>
          </cell>
          <cell r="D1072">
            <v>5502</v>
          </cell>
          <cell r="E1072" t="str">
            <v xml:space="preserve">	</v>
          </cell>
          <cell r="F1072">
            <v>3.23</v>
          </cell>
        </row>
        <row r="1073">
          <cell r="A1073" t="str">
            <v>h2-txc-5511</v>
          </cell>
          <cell r="B1073" t="str">
            <v>h2</v>
          </cell>
          <cell r="C1073" t="str">
            <v>txc</v>
          </cell>
          <cell r="D1073">
            <v>5511</v>
          </cell>
          <cell r="E1073" t="str">
            <v xml:space="preserve">	</v>
          </cell>
          <cell r="F1073">
            <v>1.47</v>
          </cell>
        </row>
        <row r="1074">
          <cell r="A1074" t="str">
            <v>h2-txc-5512</v>
          </cell>
          <cell r="B1074" t="str">
            <v>h2</v>
          </cell>
          <cell r="C1074" t="str">
            <v>txc</v>
          </cell>
          <cell r="D1074">
            <v>5512</v>
          </cell>
          <cell r="E1074" t="str">
            <v xml:space="preserve">	</v>
          </cell>
          <cell r="F1074">
            <v>5.33</v>
          </cell>
        </row>
        <row r="1075">
          <cell r="A1075" t="str">
            <v>h2-txc-5601</v>
          </cell>
          <cell r="B1075" t="str">
            <v>h2</v>
          </cell>
          <cell r="C1075" t="str">
            <v>txc</v>
          </cell>
          <cell r="D1075">
            <v>5601</v>
          </cell>
          <cell r="E1075" t="str">
            <v xml:space="preserve">	</v>
          </cell>
          <cell r="F1075">
            <v>15.38</v>
          </cell>
        </row>
        <row r="1076">
          <cell r="A1076" t="str">
            <v>h2-txc-5602</v>
          </cell>
          <cell r="B1076" t="str">
            <v>h2</v>
          </cell>
          <cell r="C1076" t="str">
            <v>txc</v>
          </cell>
          <cell r="D1076">
            <v>5602</v>
          </cell>
          <cell r="E1076" t="str">
            <v xml:space="preserve">	</v>
          </cell>
          <cell r="F1076">
            <v>13.64</v>
          </cell>
        </row>
        <row r="1077">
          <cell r="A1077" t="str">
            <v>h2-txc-5801</v>
          </cell>
          <cell r="B1077" t="str">
            <v>h2</v>
          </cell>
          <cell r="C1077" t="str">
            <v>txc</v>
          </cell>
          <cell r="D1077">
            <v>5801</v>
          </cell>
          <cell r="E1077" t="str">
            <v xml:space="preserve">	</v>
          </cell>
          <cell r="F1077">
            <v>0.48</v>
          </cell>
        </row>
        <row r="1078">
          <cell r="A1078" t="str">
            <v>h2-txc-5802</v>
          </cell>
          <cell r="B1078" t="str">
            <v>h2</v>
          </cell>
          <cell r="C1078" t="str">
            <v>txc</v>
          </cell>
          <cell r="D1078">
            <v>5802</v>
          </cell>
          <cell r="E1078" t="str">
            <v xml:space="preserve">	</v>
          </cell>
          <cell r="F1078">
            <v>0.57999999999999996</v>
          </cell>
        </row>
        <row r="1079">
          <cell r="A1079" t="str">
            <v>h2-txc-601</v>
          </cell>
          <cell r="B1079" t="str">
            <v>h2</v>
          </cell>
          <cell r="C1079" t="str">
            <v>txc</v>
          </cell>
          <cell r="D1079">
            <v>601</v>
          </cell>
          <cell r="E1079" t="str">
            <v xml:space="preserve">	</v>
          </cell>
          <cell r="F1079">
            <v>2.0099999999999998</v>
          </cell>
        </row>
        <row r="1080">
          <cell r="A1080" t="str">
            <v>h2-txc-602</v>
          </cell>
          <cell r="B1080" t="str">
            <v>h2</v>
          </cell>
          <cell r="C1080" t="str">
            <v>txc</v>
          </cell>
          <cell r="D1080">
            <v>602</v>
          </cell>
          <cell r="E1080" t="str">
            <v xml:space="preserve">	</v>
          </cell>
          <cell r="F1080">
            <v>0.43</v>
          </cell>
        </row>
        <row r="1081">
          <cell r="A1081" t="str">
            <v>h2-txc-6101</v>
          </cell>
          <cell r="B1081" t="str">
            <v>h2</v>
          </cell>
          <cell r="C1081" t="str">
            <v>txc</v>
          </cell>
          <cell r="D1081">
            <v>6101</v>
          </cell>
          <cell r="E1081" t="str">
            <v xml:space="preserve">	</v>
          </cell>
          <cell r="F1081">
            <v>38.67</v>
          </cell>
        </row>
        <row r="1082">
          <cell r="A1082" t="str">
            <v>h2-txc-6102</v>
          </cell>
          <cell r="B1082" t="str">
            <v>h2</v>
          </cell>
          <cell r="C1082" t="str">
            <v>txc</v>
          </cell>
          <cell r="D1082">
            <v>6102</v>
          </cell>
          <cell r="E1082" t="str">
            <v xml:space="preserve">	</v>
          </cell>
          <cell r="F1082">
            <v>0.34</v>
          </cell>
        </row>
        <row r="1083">
          <cell r="A1083" t="str">
            <v>h2-txc-6201</v>
          </cell>
          <cell r="B1083" t="str">
            <v>h2</v>
          </cell>
          <cell r="C1083" t="str">
            <v>txc</v>
          </cell>
          <cell r="D1083">
            <v>6201</v>
          </cell>
          <cell r="E1083" t="str">
            <v xml:space="preserve">	</v>
          </cell>
          <cell r="F1083">
            <v>0.55000000000000004</v>
          </cell>
        </row>
        <row r="1084">
          <cell r="A1084" t="str">
            <v>h2-txc-6202</v>
          </cell>
          <cell r="B1084" t="str">
            <v>h2</v>
          </cell>
          <cell r="C1084" t="str">
            <v>txc</v>
          </cell>
          <cell r="D1084">
            <v>6202</v>
          </cell>
          <cell r="E1084" t="str">
            <v xml:space="preserve">	</v>
          </cell>
          <cell r="F1084">
            <v>0.44</v>
          </cell>
        </row>
        <row r="1085">
          <cell r="A1085" t="str">
            <v>h2-txc-6211</v>
          </cell>
          <cell r="B1085" t="str">
            <v>h2</v>
          </cell>
          <cell r="C1085" t="str">
            <v>txc</v>
          </cell>
          <cell r="D1085">
            <v>6211</v>
          </cell>
          <cell r="E1085" t="str">
            <v xml:space="preserve">	</v>
          </cell>
          <cell r="F1085">
            <v>0.87</v>
          </cell>
        </row>
        <row r="1086">
          <cell r="A1086" t="str">
            <v>h2-txc-6212</v>
          </cell>
          <cell r="B1086" t="str">
            <v>h2</v>
          </cell>
          <cell r="C1086" t="str">
            <v>txc</v>
          </cell>
          <cell r="D1086">
            <v>6212</v>
          </cell>
          <cell r="E1086" t="str">
            <v xml:space="preserve">	</v>
          </cell>
          <cell r="F1086">
            <v>0.45</v>
          </cell>
        </row>
        <row r="1087">
          <cell r="A1087" t="str">
            <v>h2-txc-6501</v>
          </cell>
          <cell r="B1087" t="str">
            <v>h2</v>
          </cell>
          <cell r="C1087" t="str">
            <v>txc</v>
          </cell>
          <cell r="D1087">
            <v>6501</v>
          </cell>
          <cell r="E1087" t="str">
            <v xml:space="preserve">	</v>
          </cell>
          <cell r="F1087">
            <v>2.23</v>
          </cell>
        </row>
        <row r="1088">
          <cell r="A1088" t="str">
            <v>h2-txc-6502</v>
          </cell>
          <cell r="B1088" t="str">
            <v>h2</v>
          </cell>
          <cell r="C1088" t="str">
            <v>txc</v>
          </cell>
          <cell r="D1088">
            <v>6502</v>
          </cell>
          <cell r="E1088" t="str">
            <v xml:space="preserve">	</v>
          </cell>
          <cell r="F1088">
            <v>2.95</v>
          </cell>
        </row>
        <row r="1089">
          <cell r="A1089" t="str">
            <v>h2-txc-6511</v>
          </cell>
          <cell r="B1089" t="str">
            <v>h2</v>
          </cell>
          <cell r="C1089" t="str">
            <v>txc</v>
          </cell>
          <cell r="D1089">
            <v>6511</v>
          </cell>
          <cell r="E1089" t="str">
            <v xml:space="preserve">	</v>
          </cell>
          <cell r="F1089">
            <v>1.06</v>
          </cell>
        </row>
        <row r="1090">
          <cell r="A1090" t="str">
            <v>h2-txc-6512</v>
          </cell>
          <cell r="B1090" t="str">
            <v>h2</v>
          </cell>
          <cell r="C1090" t="str">
            <v>txc</v>
          </cell>
          <cell r="D1090">
            <v>6512</v>
          </cell>
          <cell r="E1090" t="str">
            <v xml:space="preserve">	</v>
          </cell>
          <cell r="F1090">
            <v>0.43</v>
          </cell>
        </row>
        <row r="1091">
          <cell r="A1091" t="str">
            <v>h2-txc-6601</v>
          </cell>
          <cell r="B1091" t="str">
            <v>h2</v>
          </cell>
          <cell r="C1091" t="str">
            <v>txc</v>
          </cell>
          <cell r="D1091">
            <v>6601</v>
          </cell>
          <cell r="E1091" t="str">
            <v xml:space="preserve">	</v>
          </cell>
          <cell r="F1091">
            <v>2.59</v>
          </cell>
        </row>
        <row r="1092">
          <cell r="A1092" t="str">
            <v>h2-txc-6602</v>
          </cell>
          <cell r="B1092" t="str">
            <v>h2</v>
          </cell>
          <cell r="C1092" t="str">
            <v>txc</v>
          </cell>
          <cell r="D1092">
            <v>6602</v>
          </cell>
          <cell r="E1092" t="str">
            <v xml:space="preserve">	</v>
          </cell>
          <cell r="F1092">
            <v>15.13</v>
          </cell>
        </row>
        <row r="1093">
          <cell r="A1093" t="str">
            <v>h2-txc-6621</v>
          </cell>
          <cell r="B1093" t="str">
            <v>h2</v>
          </cell>
          <cell r="C1093" t="str">
            <v>txc</v>
          </cell>
          <cell r="D1093">
            <v>6621</v>
          </cell>
          <cell r="E1093" t="str">
            <v xml:space="preserve">	</v>
          </cell>
          <cell r="F1093">
            <v>0.4</v>
          </cell>
        </row>
        <row r="1094">
          <cell r="A1094" t="str">
            <v>h2-txc-6622</v>
          </cell>
          <cell r="B1094" t="str">
            <v>h2</v>
          </cell>
          <cell r="C1094" t="str">
            <v>txc</v>
          </cell>
          <cell r="D1094">
            <v>6622</v>
          </cell>
          <cell r="E1094" t="str">
            <v xml:space="preserve">	</v>
          </cell>
          <cell r="F1094">
            <v>5.59</v>
          </cell>
        </row>
        <row r="1095">
          <cell r="A1095" t="str">
            <v>h2-txc-6611</v>
          </cell>
          <cell r="B1095" t="str">
            <v>h2</v>
          </cell>
          <cell r="C1095" t="str">
            <v>txc</v>
          </cell>
          <cell r="D1095">
            <v>6611</v>
          </cell>
          <cell r="E1095" t="str">
            <v xml:space="preserve">	</v>
          </cell>
          <cell r="F1095">
            <v>2.14</v>
          </cell>
        </row>
        <row r="1096">
          <cell r="A1096" t="str">
            <v>h2-txc-6612</v>
          </cell>
          <cell r="B1096" t="str">
            <v>h2</v>
          </cell>
          <cell r="C1096" t="str">
            <v>txc</v>
          </cell>
          <cell r="D1096">
            <v>6612</v>
          </cell>
          <cell r="E1096" t="str">
            <v xml:space="preserve">	</v>
          </cell>
          <cell r="F1096">
            <v>1.66</v>
          </cell>
        </row>
        <row r="1097">
          <cell r="A1097" t="str">
            <v>h2-txc-6901</v>
          </cell>
          <cell r="B1097" t="str">
            <v>h2</v>
          </cell>
          <cell r="C1097" t="str">
            <v>txc</v>
          </cell>
          <cell r="D1097">
            <v>6901</v>
          </cell>
          <cell r="E1097" t="str">
            <v xml:space="preserve">	</v>
          </cell>
          <cell r="F1097">
            <v>0.21</v>
          </cell>
        </row>
        <row r="1098">
          <cell r="A1098" t="str">
            <v>h2-txc-6902</v>
          </cell>
          <cell r="B1098" t="str">
            <v>h2</v>
          </cell>
          <cell r="C1098" t="str">
            <v>txc</v>
          </cell>
          <cell r="D1098">
            <v>6902</v>
          </cell>
          <cell r="E1098" t="str">
            <v xml:space="preserve">	</v>
          </cell>
          <cell r="F1098">
            <v>4.43</v>
          </cell>
        </row>
        <row r="1099">
          <cell r="A1099" t="str">
            <v>h2-txc-6911</v>
          </cell>
          <cell r="B1099" t="str">
            <v>h2</v>
          </cell>
          <cell r="C1099" t="str">
            <v>txc</v>
          </cell>
          <cell r="D1099">
            <v>6911</v>
          </cell>
          <cell r="E1099" t="str">
            <v xml:space="preserve">	</v>
          </cell>
          <cell r="F1099">
            <v>0.23</v>
          </cell>
        </row>
        <row r="1100">
          <cell r="A1100" t="str">
            <v>h2-txc-6912</v>
          </cell>
          <cell r="B1100" t="str">
            <v>h2</v>
          </cell>
          <cell r="C1100" t="str">
            <v>txc</v>
          </cell>
          <cell r="D1100">
            <v>6912</v>
          </cell>
          <cell r="E1100" t="str">
            <v xml:space="preserve">	</v>
          </cell>
          <cell r="F1100">
            <v>2.77</v>
          </cell>
        </row>
        <row r="1101">
          <cell r="A1101" t="str">
            <v>h2-txc-6921</v>
          </cell>
          <cell r="B1101" t="str">
            <v>h2</v>
          </cell>
          <cell r="C1101" t="str">
            <v>txc</v>
          </cell>
          <cell r="D1101">
            <v>6921</v>
          </cell>
          <cell r="E1101" t="str">
            <v xml:space="preserve">	</v>
          </cell>
          <cell r="F1101">
            <v>1.79</v>
          </cell>
        </row>
        <row r="1102">
          <cell r="A1102" t="str">
            <v>h2-txc-6922</v>
          </cell>
          <cell r="B1102" t="str">
            <v>h2</v>
          </cell>
          <cell r="C1102" t="str">
            <v>txc</v>
          </cell>
          <cell r="D1102">
            <v>6922</v>
          </cell>
          <cell r="E1102" t="str">
            <v xml:space="preserve">	</v>
          </cell>
          <cell r="F1102">
            <v>0.31</v>
          </cell>
        </row>
        <row r="1103">
          <cell r="A1103" t="str">
            <v>h2-txc-711</v>
          </cell>
          <cell r="B1103" t="str">
            <v>h2</v>
          </cell>
          <cell r="C1103" t="str">
            <v>txc</v>
          </cell>
          <cell r="D1103">
            <v>711</v>
          </cell>
          <cell r="E1103" t="str">
            <v xml:space="preserve">	</v>
          </cell>
          <cell r="F1103">
            <v>2.85</v>
          </cell>
        </row>
        <row r="1104">
          <cell r="A1104" t="str">
            <v>h2-txc-712</v>
          </cell>
          <cell r="B1104" t="str">
            <v>h2</v>
          </cell>
          <cell r="C1104" t="str">
            <v>txc</v>
          </cell>
          <cell r="D1104">
            <v>712</v>
          </cell>
          <cell r="E1104" t="str">
            <v xml:space="preserve">	</v>
          </cell>
          <cell r="F1104">
            <v>20.97</v>
          </cell>
        </row>
        <row r="1105">
          <cell r="A1105" t="str">
            <v>h2-txc-721</v>
          </cell>
          <cell r="B1105" t="str">
            <v>h2</v>
          </cell>
          <cell r="C1105" t="str">
            <v>txc</v>
          </cell>
          <cell r="D1105">
            <v>721</v>
          </cell>
          <cell r="E1105" t="str">
            <v xml:space="preserve">	</v>
          </cell>
          <cell r="F1105">
            <v>1.01</v>
          </cell>
        </row>
        <row r="1106">
          <cell r="A1106" t="str">
            <v>h2-txc-722</v>
          </cell>
          <cell r="B1106" t="str">
            <v>h2</v>
          </cell>
          <cell r="C1106" t="str">
            <v>txc</v>
          </cell>
          <cell r="D1106">
            <v>722</v>
          </cell>
          <cell r="E1106" t="str">
            <v xml:space="preserve">	</v>
          </cell>
          <cell r="F1106">
            <v>10.16</v>
          </cell>
        </row>
        <row r="1107">
          <cell r="A1107" t="str">
            <v>h2-txc-701</v>
          </cell>
          <cell r="B1107" t="str">
            <v>h2</v>
          </cell>
          <cell r="C1107" t="str">
            <v>txc</v>
          </cell>
          <cell r="D1107">
            <v>701</v>
          </cell>
          <cell r="E1107" t="str">
            <v xml:space="preserve">	</v>
          </cell>
          <cell r="F1107">
            <v>0.42</v>
          </cell>
        </row>
        <row r="1108">
          <cell r="A1108" t="str">
            <v>h2-txc-702</v>
          </cell>
          <cell r="B1108" t="str">
            <v>h2</v>
          </cell>
          <cell r="C1108" t="str">
            <v>txc</v>
          </cell>
          <cell r="D1108">
            <v>702</v>
          </cell>
          <cell r="E1108" t="str">
            <v xml:space="preserve">	</v>
          </cell>
          <cell r="F1108">
            <v>0.7</v>
          </cell>
        </row>
        <row r="1109">
          <cell r="A1109" t="str">
            <v>h2-txc-7001</v>
          </cell>
          <cell r="B1109" t="str">
            <v>h2</v>
          </cell>
          <cell r="C1109" t="str">
            <v>txc</v>
          </cell>
          <cell r="D1109">
            <v>7001</v>
          </cell>
          <cell r="E1109" t="str">
            <v xml:space="preserve">	</v>
          </cell>
          <cell r="F1109">
            <v>4.6100000000000003</v>
          </cell>
        </row>
        <row r="1110">
          <cell r="A1110" t="str">
            <v>h2-txc-7002</v>
          </cell>
          <cell r="B1110" t="str">
            <v>h2</v>
          </cell>
          <cell r="C1110" t="str">
            <v>txc</v>
          </cell>
          <cell r="D1110">
            <v>7002</v>
          </cell>
          <cell r="E1110" t="str">
            <v xml:space="preserve">	</v>
          </cell>
          <cell r="F1110">
            <v>5.51</v>
          </cell>
        </row>
        <row r="1111">
          <cell r="A1111" t="str">
            <v>h2-txc-7101</v>
          </cell>
          <cell r="B1111" t="str">
            <v>h2</v>
          </cell>
          <cell r="C1111" t="str">
            <v>txc</v>
          </cell>
          <cell r="D1111">
            <v>7101</v>
          </cell>
          <cell r="E1111" t="str">
            <v xml:space="preserve">	</v>
          </cell>
          <cell r="F1111">
            <v>0.18</v>
          </cell>
        </row>
        <row r="1112">
          <cell r="A1112" t="str">
            <v>h2-txc-7102</v>
          </cell>
          <cell r="B1112" t="str">
            <v>h2</v>
          </cell>
          <cell r="C1112" t="str">
            <v>txc</v>
          </cell>
          <cell r="D1112">
            <v>7102</v>
          </cell>
          <cell r="E1112" t="str">
            <v xml:space="preserve">	</v>
          </cell>
          <cell r="F1112">
            <v>1.01</v>
          </cell>
        </row>
        <row r="1113">
          <cell r="A1113" t="str">
            <v>h2-txc-7111</v>
          </cell>
          <cell r="B1113" t="str">
            <v>h2</v>
          </cell>
          <cell r="C1113" t="str">
            <v>txc</v>
          </cell>
          <cell r="D1113">
            <v>7111</v>
          </cell>
          <cell r="E1113" t="str">
            <v xml:space="preserve">	</v>
          </cell>
          <cell r="F1113">
            <v>2.93</v>
          </cell>
        </row>
        <row r="1114">
          <cell r="A1114" t="str">
            <v>h2-txc-7112</v>
          </cell>
          <cell r="B1114" t="str">
            <v>h2</v>
          </cell>
          <cell r="C1114" t="str">
            <v>txc</v>
          </cell>
          <cell r="D1114">
            <v>7112</v>
          </cell>
          <cell r="E1114" t="str">
            <v xml:space="preserve">	</v>
          </cell>
          <cell r="F1114">
            <v>5.01</v>
          </cell>
        </row>
        <row r="1115">
          <cell r="A1115" t="str">
            <v>h2-txc-7121</v>
          </cell>
          <cell r="B1115" t="str">
            <v>h2</v>
          </cell>
          <cell r="C1115" t="str">
            <v>txc</v>
          </cell>
          <cell r="D1115">
            <v>7121</v>
          </cell>
          <cell r="E1115" t="str">
            <v xml:space="preserve">	</v>
          </cell>
          <cell r="F1115">
            <v>0.15</v>
          </cell>
        </row>
        <row r="1116">
          <cell r="A1116" t="str">
            <v>h2-txc-7122</v>
          </cell>
          <cell r="B1116" t="str">
            <v>h2</v>
          </cell>
          <cell r="C1116" t="str">
            <v>txc</v>
          </cell>
          <cell r="D1116">
            <v>7122</v>
          </cell>
          <cell r="E1116" t="str">
            <v xml:space="preserve">	</v>
          </cell>
          <cell r="F1116">
            <v>2.64</v>
          </cell>
        </row>
        <row r="1117">
          <cell r="A1117" t="str">
            <v>h2-txc-7301</v>
          </cell>
          <cell r="B1117" t="str">
            <v>h2</v>
          </cell>
          <cell r="C1117" t="str">
            <v>txc</v>
          </cell>
          <cell r="D1117">
            <v>7301</v>
          </cell>
          <cell r="E1117" t="str">
            <v xml:space="preserve">	</v>
          </cell>
          <cell r="F1117">
            <v>1.86</v>
          </cell>
        </row>
        <row r="1118">
          <cell r="A1118" t="str">
            <v>h2-txc-7302</v>
          </cell>
          <cell r="B1118" t="str">
            <v>h2</v>
          </cell>
          <cell r="C1118" t="str">
            <v>txc</v>
          </cell>
          <cell r="D1118">
            <v>7302</v>
          </cell>
          <cell r="E1118" t="str">
            <v xml:space="preserve">	</v>
          </cell>
          <cell r="F1118">
            <v>5.52</v>
          </cell>
        </row>
        <row r="1119">
          <cell r="A1119" t="str">
            <v>h2-txc-7421</v>
          </cell>
          <cell r="B1119" t="str">
            <v>h2</v>
          </cell>
          <cell r="C1119" t="str">
            <v>txc</v>
          </cell>
          <cell r="D1119">
            <v>7421</v>
          </cell>
          <cell r="E1119" t="str">
            <v xml:space="preserve">	</v>
          </cell>
          <cell r="F1119">
            <v>2.87</v>
          </cell>
        </row>
        <row r="1120">
          <cell r="A1120" t="str">
            <v>h2-txc-7422</v>
          </cell>
          <cell r="B1120" t="str">
            <v>h2</v>
          </cell>
          <cell r="C1120" t="str">
            <v>txc</v>
          </cell>
          <cell r="D1120">
            <v>7422</v>
          </cell>
          <cell r="E1120" t="str">
            <v xml:space="preserve">	</v>
          </cell>
          <cell r="F1120">
            <v>0.81</v>
          </cell>
        </row>
        <row r="1121">
          <cell r="A1121" t="str">
            <v>h2-txc-7411</v>
          </cell>
          <cell r="B1121" t="str">
            <v>h2</v>
          </cell>
          <cell r="C1121" t="str">
            <v>txc</v>
          </cell>
          <cell r="D1121">
            <v>7411</v>
          </cell>
          <cell r="E1121" t="str">
            <v xml:space="preserve">	</v>
          </cell>
          <cell r="F1121">
            <v>1.2</v>
          </cell>
        </row>
        <row r="1122">
          <cell r="A1122" t="str">
            <v>h2-txc-7412</v>
          </cell>
          <cell r="B1122" t="str">
            <v>h2</v>
          </cell>
          <cell r="C1122" t="str">
            <v>txc</v>
          </cell>
          <cell r="D1122">
            <v>7412</v>
          </cell>
          <cell r="E1122" t="str">
            <v xml:space="preserve">	</v>
          </cell>
          <cell r="F1122">
            <v>1.84</v>
          </cell>
        </row>
        <row r="1123">
          <cell r="A1123" t="str">
            <v>h2-txc-7401</v>
          </cell>
          <cell r="B1123" t="str">
            <v>h2</v>
          </cell>
          <cell r="C1123" t="str">
            <v>txc</v>
          </cell>
          <cell r="D1123">
            <v>7401</v>
          </cell>
          <cell r="E1123" t="str">
            <v xml:space="preserve">	</v>
          </cell>
          <cell r="F1123">
            <v>3.64</v>
          </cell>
        </row>
        <row r="1124">
          <cell r="A1124" t="str">
            <v>h2-txc-7402</v>
          </cell>
          <cell r="B1124" t="str">
            <v>h2</v>
          </cell>
          <cell r="C1124" t="str">
            <v>txc</v>
          </cell>
          <cell r="D1124">
            <v>7402</v>
          </cell>
          <cell r="E1124" t="str">
            <v xml:space="preserve">	</v>
          </cell>
          <cell r="F1124">
            <v>11.08</v>
          </cell>
        </row>
        <row r="1125">
          <cell r="A1125" t="str">
            <v>h2-txc-7501</v>
          </cell>
          <cell r="B1125" t="str">
            <v>h2</v>
          </cell>
          <cell r="C1125" t="str">
            <v>txc</v>
          </cell>
          <cell r="D1125">
            <v>7501</v>
          </cell>
          <cell r="E1125" t="str">
            <v xml:space="preserve">	</v>
          </cell>
          <cell r="F1125">
            <v>3.44</v>
          </cell>
        </row>
        <row r="1126">
          <cell r="A1126" t="str">
            <v>h2-txc-7502</v>
          </cell>
          <cell r="B1126" t="str">
            <v>h2</v>
          </cell>
          <cell r="C1126" t="str">
            <v>txc</v>
          </cell>
          <cell r="D1126">
            <v>7502</v>
          </cell>
          <cell r="E1126" t="str">
            <v xml:space="preserve">	</v>
          </cell>
          <cell r="F1126">
            <v>2.63</v>
          </cell>
        </row>
        <row r="1127">
          <cell r="A1127" t="str">
            <v>h2-txc-7521</v>
          </cell>
          <cell r="B1127" t="str">
            <v>h2</v>
          </cell>
          <cell r="C1127" t="str">
            <v>txc</v>
          </cell>
          <cell r="D1127">
            <v>7521</v>
          </cell>
          <cell r="E1127" t="str">
            <v xml:space="preserve">	</v>
          </cell>
          <cell r="F1127">
            <v>10.220000000000001</v>
          </cell>
        </row>
        <row r="1128">
          <cell r="A1128" t="str">
            <v>h2-txc-7522</v>
          </cell>
          <cell r="B1128" t="str">
            <v>h2</v>
          </cell>
          <cell r="C1128" t="str">
            <v>txc</v>
          </cell>
          <cell r="D1128">
            <v>7522</v>
          </cell>
          <cell r="E1128" t="str">
            <v xml:space="preserve">	</v>
          </cell>
          <cell r="F1128">
            <v>5.32</v>
          </cell>
        </row>
        <row r="1129">
          <cell r="A1129" t="str">
            <v>h2-txc-7511</v>
          </cell>
          <cell r="B1129" t="str">
            <v>h2</v>
          </cell>
          <cell r="C1129" t="str">
            <v>txc</v>
          </cell>
          <cell r="D1129">
            <v>7511</v>
          </cell>
          <cell r="E1129" t="str">
            <v xml:space="preserve">	</v>
          </cell>
          <cell r="F1129">
            <v>1.96</v>
          </cell>
        </row>
        <row r="1130">
          <cell r="A1130" t="str">
            <v>h2-txc-7512</v>
          </cell>
          <cell r="B1130" t="str">
            <v>h2</v>
          </cell>
          <cell r="C1130" t="str">
            <v>txc</v>
          </cell>
          <cell r="D1130">
            <v>7512</v>
          </cell>
          <cell r="E1130" t="str">
            <v xml:space="preserve">	</v>
          </cell>
          <cell r="F1130">
            <v>3.43</v>
          </cell>
        </row>
        <row r="1131">
          <cell r="A1131" t="str">
            <v>h2-txc-7701</v>
          </cell>
          <cell r="B1131" t="str">
            <v>h2</v>
          </cell>
          <cell r="C1131" t="str">
            <v>txc</v>
          </cell>
          <cell r="D1131">
            <v>7701</v>
          </cell>
          <cell r="E1131" t="str">
            <v xml:space="preserve">	</v>
          </cell>
          <cell r="F1131">
            <v>5.69</v>
          </cell>
        </row>
        <row r="1132">
          <cell r="A1132" t="str">
            <v>h2-txc-7702</v>
          </cell>
          <cell r="B1132" t="str">
            <v>h2</v>
          </cell>
          <cell r="C1132" t="str">
            <v>txc</v>
          </cell>
          <cell r="D1132">
            <v>7702</v>
          </cell>
          <cell r="E1132" t="str">
            <v xml:space="preserve">	</v>
          </cell>
          <cell r="F1132">
            <v>49.23</v>
          </cell>
        </row>
        <row r="1133">
          <cell r="A1133" t="str">
            <v>h2-txc-7711</v>
          </cell>
          <cell r="B1133" t="str">
            <v>h2</v>
          </cell>
          <cell r="C1133" t="str">
            <v>txc</v>
          </cell>
          <cell r="D1133">
            <v>7711</v>
          </cell>
          <cell r="E1133" t="str">
            <v xml:space="preserve">	</v>
          </cell>
          <cell r="F1133">
            <v>1.19</v>
          </cell>
        </row>
        <row r="1134">
          <cell r="A1134" t="str">
            <v>h2-txc-7712</v>
          </cell>
          <cell r="B1134" t="str">
            <v>h2</v>
          </cell>
          <cell r="C1134" t="str">
            <v>txc</v>
          </cell>
          <cell r="D1134">
            <v>7712</v>
          </cell>
          <cell r="E1134" t="str">
            <v xml:space="preserve">	</v>
          </cell>
          <cell r="F1134">
            <v>3.84</v>
          </cell>
        </row>
        <row r="1135">
          <cell r="A1135" t="str">
            <v>h2-txc-7721</v>
          </cell>
          <cell r="B1135" t="str">
            <v>h2</v>
          </cell>
          <cell r="C1135" t="str">
            <v>txc</v>
          </cell>
          <cell r="D1135">
            <v>7721</v>
          </cell>
          <cell r="E1135" t="str">
            <v xml:space="preserve">	</v>
          </cell>
          <cell r="F1135">
            <v>4.0199999999999996</v>
          </cell>
        </row>
        <row r="1136">
          <cell r="A1136" t="str">
            <v>h2-txc-7722</v>
          </cell>
          <cell r="B1136" t="str">
            <v>h2</v>
          </cell>
          <cell r="C1136" t="str">
            <v>txc</v>
          </cell>
          <cell r="D1136">
            <v>7722</v>
          </cell>
          <cell r="E1136" t="str">
            <v xml:space="preserve">	</v>
          </cell>
          <cell r="F1136">
            <v>1.47</v>
          </cell>
        </row>
        <row r="1137">
          <cell r="A1137" t="str">
            <v>h2-txc-7801</v>
          </cell>
          <cell r="B1137" t="str">
            <v>h2</v>
          </cell>
          <cell r="C1137" t="str">
            <v>txc</v>
          </cell>
          <cell r="D1137">
            <v>7801</v>
          </cell>
          <cell r="E1137" t="str">
            <v xml:space="preserve">	</v>
          </cell>
          <cell r="F1137">
            <v>21.76</v>
          </cell>
        </row>
        <row r="1138">
          <cell r="A1138" t="str">
            <v>h2-txc-7802</v>
          </cell>
          <cell r="B1138" t="str">
            <v>h2</v>
          </cell>
          <cell r="C1138" t="str">
            <v>txc</v>
          </cell>
          <cell r="D1138">
            <v>7802</v>
          </cell>
          <cell r="E1138" t="str">
            <v xml:space="preserve">	</v>
          </cell>
          <cell r="F1138">
            <v>0.28000000000000003</v>
          </cell>
        </row>
        <row r="1139">
          <cell r="A1139" t="str">
            <v>h2-txc-731</v>
          </cell>
          <cell r="B1139" t="str">
            <v>h2</v>
          </cell>
          <cell r="C1139" t="str">
            <v>txc</v>
          </cell>
          <cell r="D1139">
            <v>731</v>
          </cell>
          <cell r="E1139" t="str">
            <v xml:space="preserve">	</v>
          </cell>
          <cell r="F1139">
            <v>7.48</v>
          </cell>
        </row>
        <row r="1140">
          <cell r="A1140" t="str">
            <v>h2-txc-732</v>
          </cell>
          <cell r="B1140" t="str">
            <v>h2</v>
          </cell>
          <cell r="C1140" t="str">
            <v>txc</v>
          </cell>
          <cell r="D1140">
            <v>732</v>
          </cell>
          <cell r="E1140" t="str">
            <v xml:space="preserve">	</v>
          </cell>
          <cell r="F1140">
            <v>0.45</v>
          </cell>
        </row>
        <row r="1141">
          <cell r="A1141" t="str">
            <v>h2-txc-741</v>
          </cell>
          <cell r="B1141" t="str">
            <v>h2</v>
          </cell>
          <cell r="C1141" t="str">
            <v>txc</v>
          </cell>
          <cell r="D1141">
            <v>741</v>
          </cell>
          <cell r="E1141" t="str">
            <v xml:space="preserve">	</v>
          </cell>
          <cell r="F1141">
            <v>2.42</v>
          </cell>
        </row>
        <row r="1142">
          <cell r="A1142" t="str">
            <v>h2-txc-742</v>
          </cell>
          <cell r="B1142" t="str">
            <v>h2</v>
          </cell>
          <cell r="C1142" t="str">
            <v>txc</v>
          </cell>
          <cell r="D1142">
            <v>742</v>
          </cell>
          <cell r="E1142" t="str">
            <v xml:space="preserve">	</v>
          </cell>
          <cell r="F1142">
            <v>1.07</v>
          </cell>
        </row>
        <row r="1143">
          <cell r="A1143" t="str">
            <v>h2-txc-802</v>
          </cell>
          <cell r="B1143" t="str">
            <v>h2</v>
          </cell>
          <cell r="C1143" t="str">
            <v>txc</v>
          </cell>
          <cell r="D1143">
            <v>802</v>
          </cell>
          <cell r="E1143" t="str">
            <v xml:space="preserve">	</v>
          </cell>
          <cell r="F1143">
            <v>0.3</v>
          </cell>
        </row>
        <row r="1144">
          <cell r="A1144" t="str">
            <v>h2-txc-811</v>
          </cell>
          <cell r="B1144" t="str">
            <v>h2</v>
          </cell>
          <cell r="C1144" t="str">
            <v>txc</v>
          </cell>
          <cell r="D1144">
            <v>811</v>
          </cell>
          <cell r="E1144" t="str">
            <v xml:space="preserve">	</v>
          </cell>
          <cell r="F1144">
            <v>19.510000000000002</v>
          </cell>
        </row>
        <row r="1145">
          <cell r="A1145" t="str">
            <v>h2-txc-812</v>
          </cell>
          <cell r="B1145" t="str">
            <v>h2</v>
          </cell>
          <cell r="C1145" t="str">
            <v>txc</v>
          </cell>
          <cell r="D1145">
            <v>812</v>
          </cell>
          <cell r="E1145" t="str">
            <v xml:space="preserve">	</v>
          </cell>
          <cell r="F1145">
            <v>0.31</v>
          </cell>
        </row>
        <row r="1146">
          <cell r="A1146" t="str">
            <v>h2-txc-8001</v>
          </cell>
          <cell r="B1146" t="str">
            <v>h2</v>
          </cell>
          <cell r="C1146" t="str">
            <v>txc</v>
          </cell>
          <cell r="D1146">
            <v>8001</v>
          </cell>
          <cell r="E1146" t="str">
            <v xml:space="preserve">	</v>
          </cell>
          <cell r="F1146">
            <v>2.09</v>
          </cell>
        </row>
        <row r="1147">
          <cell r="A1147" t="str">
            <v>h2-txc-8002</v>
          </cell>
          <cell r="B1147" t="str">
            <v>h2</v>
          </cell>
          <cell r="C1147" t="str">
            <v>txc</v>
          </cell>
          <cell r="D1147">
            <v>8002</v>
          </cell>
          <cell r="E1147" t="str">
            <v xml:space="preserve">	</v>
          </cell>
          <cell r="F1147">
            <v>7.43</v>
          </cell>
        </row>
        <row r="1148">
          <cell r="A1148" t="str">
            <v>h2-txc-8201</v>
          </cell>
          <cell r="B1148" t="str">
            <v>h2</v>
          </cell>
          <cell r="C1148" t="str">
            <v>txc</v>
          </cell>
          <cell r="D1148">
            <v>8201</v>
          </cell>
          <cell r="E1148" t="str">
            <v xml:space="preserve">	</v>
          </cell>
          <cell r="F1148">
            <v>0.69</v>
          </cell>
        </row>
        <row r="1149">
          <cell r="A1149" t="str">
            <v>h2-txc-8202</v>
          </cell>
          <cell r="B1149" t="str">
            <v>h2</v>
          </cell>
          <cell r="C1149" t="str">
            <v>txc</v>
          </cell>
          <cell r="D1149">
            <v>8202</v>
          </cell>
          <cell r="E1149" t="str">
            <v xml:space="preserve">	</v>
          </cell>
          <cell r="F1149">
            <v>6.98</v>
          </cell>
        </row>
        <row r="1150">
          <cell r="A1150" t="str">
            <v>h2-txc-8301</v>
          </cell>
          <cell r="B1150" t="str">
            <v>h2</v>
          </cell>
          <cell r="C1150" t="str">
            <v>txc</v>
          </cell>
          <cell r="D1150">
            <v>8301</v>
          </cell>
          <cell r="E1150" t="str">
            <v xml:space="preserve">	</v>
          </cell>
          <cell r="F1150">
            <v>19.600000000000001</v>
          </cell>
        </row>
        <row r="1151">
          <cell r="A1151" t="str">
            <v>h2-txc-8302</v>
          </cell>
          <cell r="B1151" t="str">
            <v>h2</v>
          </cell>
          <cell r="C1151" t="str">
            <v>txc</v>
          </cell>
          <cell r="D1151">
            <v>8302</v>
          </cell>
          <cell r="E1151" t="str">
            <v xml:space="preserve">	</v>
          </cell>
          <cell r="F1151">
            <v>2.19</v>
          </cell>
        </row>
        <row r="1152">
          <cell r="A1152" t="str">
            <v>h2-txc-8611</v>
          </cell>
          <cell r="B1152" t="str">
            <v>h2</v>
          </cell>
          <cell r="C1152" t="str">
            <v>txc</v>
          </cell>
          <cell r="D1152">
            <v>8611</v>
          </cell>
          <cell r="E1152" t="str">
            <v xml:space="preserve">	</v>
          </cell>
          <cell r="F1152">
            <v>0.82</v>
          </cell>
        </row>
        <row r="1153">
          <cell r="A1153" t="str">
            <v>h2-txc-8612</v>
          </cell>
          <cell r="B1153" t="str">
            <v>h2</v>
          </cell>
          <cell r="C1153" t="str">
            <v>txc</v>
          </cell>
          <cell r="D1153">
            <v>8612</v>
          </cell>
          <cell r="E1153" t="str">
            <v xml:space="preserve">	</v>
          </cell>
          <cell r="F1153">
            <v>1.99</v>
          </cell>
        </row>
        <row r="1154">
          <cell r="A1154" t="str">
            <v>h2-txc-8621</v>
          </cell>
          <cell r="B1154" t="str">
            <v>h2</v>
          </cell>
          <cell r="C1154" t="str">
            <v>txc</v>
          </cell>
          <cell r="D1154">
            <v>8621</v>
          </cell>
          <cell r="E1154" t="str">
            <v xml:space="preserve">	</v>
          </cell>
          <cell r="F1154">
            <v>5.93</v>
          </cell>
        </row>
        <row r="1155">
          <cell r="A1155" t="str">
            <v>h2-txc-8622</v>
          </cell>
          <cell r="B1155" t="str">
            <v>h2</v>
          </cell>
          <cell r="C1155" t="str">
            <v>txc</v>
          </cell>
          <cell r="D1155">
            <v>8622</v>
          </cell>
          <cell r="E1155" t="str">
            <v xml:space="preserve">	</v>
          </cell>
          <cell r="F1155">
            <v>1.55</v>
          </cell>
        </row>
        <row r="1156">
          <cell r="A1156" t="str">
            <v>h2-txc-8701</v>
          </cell>
          <cell r="B1156" t="str">
            <v>h2</v>
          </cell>
          <cell r="C1156" t="str">
            <v>txc</v>
          </cell>
          <cell r="D1156">
            <v>8701</v>
          </cell>
          <cell r="E1156" t="str">
            <v xml:space="preserve">	</v>
          </cell>
          <cell r="F1156">
            <v>48.12</v>
          </cell>
        </row>
        <row r="1157">
          <cell r="A1157" t="str">
            <v>h2-txc-8711</v>
          </cell>
          <cell r="B1157" t="str">
            <v>h2</v>
          </cell>
          <cell r="C1157" t="str">
            <v>txc</v>
          </cell>
          <cell r="D1157">
            <v>8711</v>
          </cell>
          <cell r="E1157" t="str">
            <v xml:space="preserve">	</v>
          </cell>
          <cell r="F1157">
            <v>19.03</v>
          </cell>
        </row>
        <row r="1158">
          <cell r="A1158" t="str">
            <v>h2-txc-8712</v>
          </cell>
          <cell r="B1158" t="str">
            <v>h2</v>
          </cell>
          <cell r="C1158" t="str">
            <v>txc</v>
          </cell>
          <cell r="D1158">
            <v>8712</v>
          </cell>
          <cell r="E1158" t="str">
            <v xml:space="preserve">	</v>
          </cell>
          <cell r="F1158">
            <v>9.41</v>
          </cell>
        </row>
        <row r="1159">
          <cell r="A1159" t="str">
            <v>h2-txc-8901</v>
          </cell>
          <cell r="B1159" t="str">
            <v>h2</v>
          </cell>
          <cell r="C1159" t="str">
            <v>txc</v>
          </cell>
          <cell r="D1159">
            <v>8901</v>
          </cell>
          <cell r="E1159" t="str">
            <v xml:space="preserve">	</v>
          </cell>
          <cell r="F1159">
            <v>0.38</v>
          </cell>
        </row>
        <row r="1160">
          <cell r="A1160" t="str">
            <v>h2-txc-8902</v>
          </cell>
          <cell r="B1160" t="str">
            <v>h2</v>
          </cell>
          <cell r="C1160" t="str">
            <v>txc</v>
          </cell>
          <cell r="D1160">
            <v>8902</v>
          </cell>
          <cell r="E1160" t="str">
            <v xml:space="preserve">	</v>
          </cell>
          <cell r="F1160">
            <v>0.45</v>
          </cell>
        </row>
        <row r="1161">
          <cell r="A1161" t="str">
            <v>h2-txc-901</v>
          </cell>
          <cell r="B1161" t="str">
            <v>h2</v>
          </cell>
          <cell r="C1161" t="str">
            <v>txc</v>
          </cell>
          <cell r="D1161">
            <v>901</v>
          </cell>
          <cell r="E1161" t="str">
            <v xml:space="preserve">	</v>
          </cell>
          <cell r="F1161">
            <v>22.8</v>
          </cell>
        </row>
        <row r="1162">
          <cell r="A1162" t="str">
            <v>h2-txc-902</v>
          </cell>
          <cell r="B1162" t="str">
            <v>h2</v>
          </cell>
          <cell r="C1162" t="str">
            <v>txc</v>
          </cell>
          <cell r="D1162">
            <v>902</v>
          </cell>
          <cell r="E1162" t="str">
            <v xml:space="preserve">	</v>
          </cell>
          <cell r="F1162">
            <v>12.1</v>
          </cell>
        </row>
        <row r="1163">
          <cell r="A1163" t="str">
            <v>h2-txc-9001</v>
          </cell>
          <cell r="B1163" t="str">
            <v>h2</v>
          </cell>
          <cell r="C1163" t="str">
            <v>txc</v>
          </cell>
          <cell r="D1163">
            <v>9001</v>
          </cell>
          <cell r="E1163" t="str">
            <v xml:space="preserve">	</v>
          </cell>
          <cell r="F1163">
            <v>0.91</v>
          </cell>
        </row>
        <row r="1164">
          <cell r="A1164" t="str">
            <v>h2-txc-9002</v>
          </cell>
          <cell r="B1164" t="str">
            <v>h2</v>
          </cell>
          <cell r="C1164" t="str">
            <v>txc</v>
          </cell>
          <cell r="D1164">
            <v>9002</v>
          </cell>
          <cell r="E1164" t="str">
            <v xml:space="preserve">	</v>
          </cell>
          <cell r="F1164">
            <v>6.62</v>
          </cell>
        </row>
        <row r="1165">
          <cell r="A1165" t="str">
            <v>h2-txc-9211</v>
          </cell>
          <cell r="B1165" t="str">
            <v>h2</v>
          </cell>
          <cell r="C1165" t="str">
            <v>txc</v>
          </cell>
          <cell r="D1165">
            <v>9211</v>
          </cell>
          <cell r="E1165" t="str">
            <v xml:space="preserve">	</v>
          </cell>
          <cell r="F1165">
            <v>1.29</v>
          </cell>
        </row>
        <row r="1166">
          <cell r="A1166" t="str">
            <v>h2-txc-9212</v>
          </cell>
          <cell r="B1166" t="str">
            <v>h2</v>
          </cell>
          <cell r="C1166" t="str">
            <v>txc</v>
          </cell>
          <cell r="D1166">
            <v>9212</v>
          </cell>
          <cell r="E1166" t="str">
            <v xml:space="preserve">	</v>
          </cell>
          <cell r="F1166">
            <v>3.41</v>
          </cell>
        </row>
        <row r="1167">
          <cell r="A1167" t="str">
            <v>h2-txc-9201</v>
          </cell>
          <cell r="B1167" t="str">
            <v>h2</v>
          </cell>
          <cell r="C1167" t="str">
            <v>txc</v>
          </cell>
          <cell r="D1167">
            <v>9201</v>
          </cell>
          <cell r="E1167" t="str">
            <v xml:space="preserve">	</v>
          </cell>
          <cell r="F1167">
            <v>0.31</v>
          </cell>
        </row>
        <row r="1168">
          <cell r="A1168" t="str">
            <v>h2-txc-9202</v>
          </cell>
          <cell r="B1168" t="str">
            <v>h2</v>
          </cell>
          <cell r="C1168" t="str">
            <v>txc</v>
          </cell>
          <cell r="D1168">
            <v>9202</v>
          </cell>
          <cell r="E1168" t="str">
            <v xml:space="preserve">	</v>
          </cell>
          <cell r="F1168">
            <v>1.39</v>
          </cell>
        </row>
        <row r="1169">
          <cell r="A1169" t="str">
            <v>h2-txc-9301</v>
          </cell>
          <cell r="B1169" t="str">
            <v>h2</v>
          </cell>
          <cell r="C1169" t="str">
            <v>txc</v>
          </cell>
          <cell r="D1169">
            <v>9301</v>
          </cell>
          <cell r="E1169" t="str">
            <v xml:space="preserve">	</v>
          </cell>
          <cell r="F1169">
            <v>43.5</v>
          </cell>
        </row>
        <row r="1170">
          <cell r="A1170" t="str">
            <v>h2-txc-9302</v>
          </cell>
          <cell r="B1170" t="str">
            <v>h2</v>
          </cell>
          <cell r="C1170" t="str">
            <v>txc</v>
          </cell>
          <cell r="D1170">
            <v>9302</v>
          </cell>
          <cell r="E1170" t="str">
            <v xml:space="preserve">	</v>
          </cell>
          <cell r="F1170">
            <v>9.84</v>
          </cell>
        </row>
        <row r="1171">
          <cell r="A1171" t="str">
            <v>h2-txc-9401</v>
          </cell>
          <cell r="B1171" t="str">
            <v>h2</v>
          </cell>
          <cell r="C1171" t="str">
            <v>txc</v>
          </cell>
          <cell r="D1171">
            <v>9401</v>
          </cell>
          <cell r="E1171" t="str">
            <v xml:space="preserve">	</v>
          </cell>
          <cell r="F1171">
            <v>0.49</v>
          </cell>
        </row>
        <row r="1172">
          <cell r="A1172" t="str">
            <v>h2-txc-9701</v>
          </cell>
          <cell r="B1172" t="str">
            <v>h2</v>
          </cell>
          <cell r="C1172" t="str">
            <v>txc</v>
          </cell>
          <cell r="D1172">
            <v>9701</v>
          </cell>
          <cell r="E1172" t="str">
            <v xml:space="preserve">	</v>
          </cell>
          <cell r="F1172">
            <v>0.43</v>
          </cell>
        </row>
        <row r="1173">
          <cell r="A1173" t="str">
            <v>h2-txc-9702</v>
          </cell>
          <cell r="B1173" t="str">
            <v>h2</v>
          </cell>
          <cell r="C1173" t="str">
            <v>txc</v>
          </cell>
          <cell r="D1173">
            <v>9702</v>
          </cell>
          <cell r="E1173" t="str">
            <v xml:space="preserve">	</v>
          </cell>
          <cell r="F1173">
            <v>0.41</v>
          </cell>
        </row>
        <row r="1174">
          <cell r="A1174" t="str">
            <v>h2-txc-77712</v>
          </cell>
          <cell r="B1174" t="str">
            <v>h2</v>
          </cell>
          <cell r="C1174" t="str">
            <v>txc</v>
          </cell>
          <cell r="D1174">
            <v>77712</v>
          </cell>
          <cell r="E1174" t="str">
            <v xml:space="preserve">	</v>
          </cell>
          <cell r="F1174">
            <v>0.41</v>
          </cell>
        </row>
        <row r="1175">
          <cell r="A1175" t="str">
            <v>h2-txc-77702</v>
          </cell>
          <cell r="B1175" t="str">
            <v>h2</v>
          </cell>
          <cell r="C1175" t="str">
            <v>txc</v>
          </cell>
          <cell r="D1175">
            <v>77702</v>
          </cell>
          <cell r="E1175" t="str">
            <v xml:space="preserve">	</v>
          </cell>
          <cell r="F1175">
            <v>1.57</v>
          </cell>
        </row>
        <row r="1176">
          <cell r="A1176" t="str">
            <v>h2-txc-77701</v>
          </cell>
          <cell r="B1176" t="str">
            <v>h2</v>
          </cell>
          <cell r="C1176" t="str">
            <v>txc</v>
          </cell>
          <cell r="D1176">
            <v>77701</v>
          </cell>
          <cell r="E1176" t="str">
            <v xml:space="preserve">	</v>
          </cell>
          <cell r="F1176">
            <v>6.64</v>
          </cell>
        </row>
        <row r="1177">
          <cell r="A1177" t="str">
            <v>h2-txc-88811</v>
          </cell>
          <cell r="B1177" t="str">
            <v>h2</v>
          </cell>
          <cell r="C1177" t="str">
            <v>txc</v>
          </cell>
          <cell r="D1177">
            <v>88811</v>
          </cell>
          <cell r="E1177" t="str">
            <v xml:space="preserve">	</v>
          </cell>
          <cell r="F1177">
            <v>0.7</v>
          </cell>
        </row>
        <row r="1178">
          <cell r="A1178" t="str">
            <v>h2-txc-88801</v>
          </cell>
          <cell r="B1178" t="str">
            <v>h2</v>
          </cell>
          <cell r="C1178" t="str">
            <v>txc</v>
          </cell>
          <cell r="D1178">
            <v>88801</v>
          </cell>
          <cell r="E1178" t="str">
            <v xml:space="preserve">	</v>
          </cell>
          <cell r="F1178">
            <v>0.11</v>
          </cell>
        </row>
        <row r="1179">
          <cell r="A1179" t="str">
            <v>h2-txc-88802</v>
          </cell>
          <cell r="B1179" t="str">
            <v>h2</v>
          </cell>
          <cell r="C1179" t="str">
            <v>txc</v>
          </cell>
          <cell r="D1179">
            <v>88802</v>
          </cell>
          <cell r="E1179" t="str">
            <v xml:space="preserve">	</v>
          </cell>
          <cell r="F1179">
            <v>0.11</v>
          </cell>
        </row>
        <row r="1180">
          <cell r="A1180" t="str">
            <v>h2-txc-88812</v>
          </cell>
          <cell r="B1180" t="str">
            <v>h2</v>
          </cell>
          <cell r="C1180" t="str">
            <v>txc</v>
          </cell>
          <cell r="D1180">
            <v>88812</v>
          </cell>
          <cell r="E1180" t="str">
            <v xml:space="preserve">	</v>
          </cell>
          <cell r="F1180">
            <v>0.12</v>
          </cell>
        </row>
        <row r="1181">
          <cell r="A1181" t="str">
            <v>h2-txc-99901</v>
          </cell>
          <cell r="B1181" t="str">
            <v>h2</v>
          </cell>
          <cell r="C1181" t="str">
            <v>txc</v>
          </cell>
          <cell r="D1181">
            <v>99901</v>
          </cell>
          <cell r="E1181" t="str">
            <v xml:space="preserve">	</v>
          </cell>
          <cell r="F1181">
            <v>2.06</v>
          </cell>
        </row>
        <row r="1182">
          <cell r="A1182" t="str">
            <v>h2-txc-99902</v>
          </cell>
          <cell r="B1182" t="str">
            <v>h2</v>
          </cell>
          <cell r="C1182" t="str">
            <v>txc</v>
          </cell>
          <cell r="D1182">
            <v>99902</v>
          </cell>
          <cell r="E1182" t="str">
            <v xml:space="preserve">	</v>
          </cell>
          <cell r="F1182">
            <v>3.15</v>
          </cell>
        </row>
        <row r="1183">
          <cell r="A1183" t="str">
            <v>h2-txc-1421</v>
          </cell>
          <cell r="B1183" t="str">
            <v>h2</v>
          </cell>
          <cell r="C1183" t="str">
            <v>txc</v>
          </cell>
          <cell r="D1183">
            <v>1421</v>
          </cell>
          <cell r="E1183" t="str">
            <v xml:space="preserve">	</v>
          </cell>
          <cell r="F1183">
            <v>3.76</v>
          </cell>
        </row>
        <row r="1184">
          <cell r="A1184" t="str">
            <v>h2-txc-801</v>
          </cell>
          <cell r="B1184" t="str">
            <v>h2</v>
          </cell>
          <cell r="C1184" t="str">
            <v>txc</v>
          </cell>
          <cell r="D1184">
            <v>801</v>
          </cell>
          <cell r="E1184" t="str">
            <v xml:space="preserve">	</v>
          </cell>
          <cell r="F1184">
            <v>0.26</v>
          </cell>
        </row>
        <row r="1185">
          <cell r="A1185" t="str">
            <v>h2-txc-77711</v>
          </cell>
          <cell r="B1185" t="str">
            <v>h2</v>
          </cell>
          <cell r="C1185" t="str">
            <v>txc</v>
          </cell>
          <cell r="D1185">
            <v>77711</v>
          </cell>
          <cell r="E1185" t="str">
            <v xml:space="preserve">	</v>
          </cell>
          <cell r="F1185">
            <v>0.39</v>
          </cell>
        </row>
        <row r="1186">
          <cell r="A1186" t="str">
            <v>h2-txc-312</v>
          </cell>
          <cell r="B1186" t="str">
            <v>h2</v>
          </cell>
          <cell r="C1186" t="str">
            <v>txc</v>
          </cell>
          <cell r="D1186">
            <v>312</v>
          </cell>
          <cell r="E1186" t="str">
            <v xml:space="preserve">	</v>
          </cell>
          <cell r="F1186">
            <v>15.43</v>
          </cell>
        </row>
        <row r="1187">
          <cell r="A1187" t="str">
            <v>h2-txc-9402</v>
          </cell>
          <cell r="B1187" t="str">
            <v>h2</v>
          </cell>
          <cell r="C1187" t="str">
            <v>txc</v>
          </cell>
          <cell r="D1187">
            <v>9402</v>
          </cell>
          <cell r="E1187" t="str">
            <v xml:space="preserve">	</v>
          </cell>
          <cell r="F1187">
            <v>0.59</v>
          </cell>
        </row>
        <row r="1188">
          <cell r="A1188" t="str">
            <v>h2-txc-8702</v>
          </cell>
          <cell r="B1188" t="str">
            <v>h2</v>
          </cell>
          <cell r="C1188" t="str">
            <v>txc</v>
          </cell>
          <cell r="D1188">
            <v>8702</v>
          </cell>
          <cell r="E1188" t="str">
            <v xml:space="preserve">	</v>
          </cell>
          <cell r="F1188">
            <v>21.02</v>
          </cell>
        </row>
        <row r="1189">
          <cell r="A1189" t="str">
            <v>h2-txc-211</v>
          </cell>
          <cell r="B1189" t="str">
            <v>h2</v>
          </cell>
          <cell r="C1189" t="str">
            <v>txc</v>
          </cell>
          <cell r="D1189">
            <v>211</v>
          </cell>
          <cell r="E1189" t="str">
            <v xml:space="preserve">	</v>
          </cell>
          <cell r="F1189">
            <v>3.1</v>
          </cell>
        </row>
        <row r="1190">
          <cell r="A1190" t="str">
            <v>h2-txc-212</v>
          </cell>
          <cell r="B1190" t="str">
            <v>h2</v>
          </cell>
          <cell r="C1190" t="str">
            <v>txc</v>
          </cell>
          <cell r="D1190">
            <v>212</v>
          </cell>
          <cell r="E1190" t="str">
            <v xml:space="preserve">	</v>
          </cell>
          <cell r="F1190">
            <v>0.46</v>
          </cell>
        </row>
        <row r="1191">
          <cell r="A1191" t="str">
            <v>h2-txc-25021</v>
          </cell>
          <cell r="B1191" t="str">
            <v>h2</v>
          </cell>
          <cell r="C1191" t="str">
            <v>txc</v>
          </cell>
          <cell r="D1191">
            <v>25021</v>
          </cell>
          <cell r="E1191" t="str">
            <v xml:space="preserve">	</v>
          </cell>
          <cell r="F1191">
            <v>1.01</v>
          </cell>
        </row>
        <row r="1192">
          <cell r="A1192" t="str">
            <v>h2-txc-25031</v>
          </cell>
          <cell r="B1192" t="str">
            <v>h2</v>
          </cell>
          <cell r="C1192" t="str">
            <v>txc</v>
          </cell>
          <cell r="D1192">
            <v>25031</v>
          </cell>
          <cell r="E1192" t="str">
            <v xml:space="preserve">	</v>
          </cell>
          <cell r="F1192">
            <v>0.23</v>
          </cell>
        </row>
        <row r="1193">
          <cell r="A1193" t="str">
            <v>h2-txc-4932</v>
          </cell>
          <cell r="B1193" t="str">
            <v>h2</v>
          </cell>
          <cell r="C1193" t="str">
            <v>txc</v>
          </cell>
          <cell r="D1193">
            <v>4932</v>
          </cell>
          <cell r="E1193" t="str">
            <v xml:space="preserve">	</v>
          </cell>
          <cell r="F1193">
            <v>0.14000000000000001</v>
          </cell>
        </row>
        <row r="1194">
          <cell r="A1194" t="str">
            <v>h2-txc-7732</v>
          </cell>
          <cell r="B1194" t="str">
            <v>h2</v>
          </cell>
          <cell r="C1194" t="str">
            <v>txc</v>
          </cell>
          <cell r="D1194">
            <v>7732</v>
          </cell>
          <cell r="E1194" t="str">
            <v xml:space="preserve">	</v>
          </cell>
          <cell r="F1194">
            <v>4.0599999999999996</v>
          </cell>
        </row>
        <row r="1195">
          <cell r="A1195" t="str">
            <v>h2-txc-752</v>
          </cell>
          <cell r="B1195" t="str">
            <v>h2</v>
          </cell>
          <cell r="C1195" t="str">
            <v>txc</v>
          </cell>
          <cell r="D1195">
            <v>752</v>
          </cell>
          <cell r="E1195" t="str">
            <v xml:space="preserve">	</v>
          </cell>
          <cell r="F1195">
            <v>1.68</v>
          </cell>
        </row>
        <row r="1196">
          <cell r="A1196" t="str">
            <v>h2-txc-12921</v>
          </cell>
          <cell r="B1196" t="str">
            <v>h2</v>
          </cell>
          <cell r="C1196" t="str">
            <v>txc</v>
          </cell>
          <cell r="D1196">
            <v>12921</v>
          </cell>
          <cell r="E1196" t="str">
            <v xml:space="preserve">	</v>
          </cell>
          <cell r="F1196">
            <v>9.73</v>
          </cell>
        </row>
        <row r="1197">
          <cell r="A1197" t="str">
            <v>h2-txc-15521</v>
          </cell>
          <cell r="B1197" t="str">
            <v>h2</v>
          </cell>
          <cell r="C1197" t="str">
            <v>txc</v>
          </cell>
          <cell r="D1197">
            <v>15521</v>
          </cell>
          <cell r="E1197" t="str">
            <v xml:space="preserve">	</v>
          </cell>
          <cell r="F1197">
            <v>5.01</v>
          </cell>
        </row>
        <row r="1198">
          <cell r="A1198" t="str">
            <v>h2-txc-4721</v>
          </cell>
          <cell r="B1198" t="str">
            <v>h2</v>
          </cell>
          <cell r="C1198" t="str">
            <v>txc</v>
          </cell>
          <cell r="D1198">
            <v>4721</v>
          </cell>
          <cell r="E1198" t="str">
            <v xml:space="preserve">	</v>
          </cell>
          <cell r="F1198">
            <v>0.06</v>
          </cell>
        </row>
        <row r="1199">
          <cell r="A1199" t="str">
            <v>h2-txc-4731</v>
          </cell>
          <cell r="B1199" t="str">
            <v>h2</v>
          </cell>
          <cell r="C1199" t="str">
            <v>txc</v>
          </cell>
          <cell r="D1199">
            <v>4731</v>
          </cell>
          <cell r="E1199" t="str">
            <v xml:space="preserve">	</v>
          </cell>
          <cell r="F1199">
            <v>29.97</v>
          </cell>
        </row>
        <row r="1200">
          <cell r="A1200" t="str">
            <v>h2-txc-4741</v>
          </cell>
          <cell r="B1200" t="str">
            <v>h2</v>
          </cell>
          <cell r="C1200" t="str">
            <v>txc</v>
          </cell>
          <cell r="D1200">
            <v>4741</v>
          </cell>
          <cell r="E1200" t="str">
            <v xml:space="preserve">	</v>
          </cell>
          <cell r="F1200">
            <v>47.9</v>
          </cell>
        </row>
        <row r="1201">
          <cell r="A1201" t="str">
            <v>h2-txc-3321</v>
          </cell>
          <cell r="B1201" t="str">
            <v>h2</v>
          </cell>
          <cell r="C1201" t="str">
            <v>txc</v>
          </cell>
          <cell r="D1201">
            <v>3321</v>
          </cell>
          <cell r="E1201" t="str">
            <v xml:space="preserve">	</v>
          </cell>
          <cell r="F1201">
            <v>2.72</v>
          </cell>
        </row>
        <row r="1202">
          <cell r="A1202" t="str">
            <v>h2-txc-3331</v>
          </cell>
          <cell r="B1202" t="str">
            <v>h2</v>
          </cell>
          <cell r="C1202" t="str">
            <v>txc</v>
          </cell>
          <cell r="D1202">
            <v>3331</v>
          </cell>
          <cell r="E1202" t="str">
            <v xml:space="preserve">	</v>
          </cell>
          <cell r="F1202">
            <v>1.83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ota_lineas_tp"/>
    </sheetNames>
    <sheetDataSet>
      <sheetData sheetId="0">
        <row r="2">
          <cell r="A2" t="str">
            <v xml:space="preserve">bus-MODO: bus    </v>
          </cell>
          <cell r="B2" t="str">
            <v>bus</v>
          </cell>
          <cell r="C2" t="str">
            <v xml:space="preserve">MODO: bus    </v>
          </cell>
        </row>
        <row r="3">
          <cell r="A3" t="str">
            <v>bus-LINEA</v>
          </cell>
          <cell r="B3" t="str">
            <v>bus</v>
          </cell>
          <cell r="C3" t="str">
            <v>LINEA</v>
          </cell>
          <cell r="D3" t="str">
            <v>FLOTA</v>
          </cell>
        </row>
        <row r="4">
          <cell r="A4" t="str">
            <v>bus-1011</v>
          </cell>
          <cell r="B4" t="str">
            <v>bus</v>
          </cell>
          <cell r="C4">
            <v>1011</v>
          </cell>
          <cell r="D4">
            <v>7.21</v>
          </cell>
        </row>
        <row r="5">
          <cell r="A5" t="str">
            <v>bus-1012</v>
          </cell>
          <cell r="B5" t="str">
            <v>bus</v>
          </cell>
          <cell r="C5">
            <v>1012</v>
          </cell>
          <cell r="D5">
            <v>7.61</v>
          </cell>
        </row>
        <row r="6">
          <cell r="A6" t="str">
            <v>bus-1021</v>
          </cell>
          <cell r="B6" t="str">
            <v>bus</v>
          </cell>
          <cell r="C6">
            <v>1021</v>
          </cell>
          <cell r="D6">
            <v>6.42</v>
          </cell>
        </row>
        <row r="7">
          <cell r="A7" t="str">
            <v>bus-1022</v>
          </cell>
          <cell r="B7" t="str">
            <v>bus</v>
          </cell>
          <cell r="C7">
            <v>1022</v>
          </cell>
          <cell r="D7">
            <v>5.7</v>
          </cell>
        </row>
        <row r="8">
          <cell r="A8" t="str">
            <v>bus-1031</v>
          </cell>
          <cell r="B8" t="str">
            <v>bus</v>
          </cell>
          <cell r="C8">
            <v>1031</v>
          </cell>
          <cell r="D8">
            <v>6.81</v>
          </cell>
        </row>
        <row r="9">
          <cell r="A9" t="str">
            <v>bus-1032</v>
          </cell>
          <cell r="B9" t="str">
            <v>bus</v>
          </cell>
          <cell r="C9">
            <v>1032</v>
          </cell>
          <cell r="D9">
            <v>5.2</v>
          </cell>
        </row>
        <row r="10">
          <cell r="A10" t="str">
            <v>bus-1041</v>
          </cell>
          <cell r="B10" t="str">
            <v>bus</v>
          </cell>
          <cell r="C10">
            <v>1041</v>
          </cell>
          <cell r="D10">
            <v>3.53</v>
          </cell>
        </row>
        <row r="11">
          <cell r="A11" t="str">
            <v>bus-1042</v>
          </cell>
          <cell r="B11" t="str">
            <v>bus</v>
          </cell>
          <cell r="C11">
            <v>1042</v>
          </cell>
          <cell r="D11">
            <v>3.91</v>
          </cell>
        </row>
        <row r="12">
          <cell r="A12" t="str">
            <v>bus-1051</v>
          </cell>
          <cell r="B12" t="str">
            <v>bus</v>
          </cell>
          <cell r="C12">
            <v>1051</v>
          </cell>
          <cell r="D12">
            <v>6.96</v>
          </cell>
        </row>
        <row r="13">
          <cell r="A13" t="str">
            <v>bus-1052</v>
          </cell>
          <cell r="B13" t="str">
            <v>bus</v>
          </cell>
          <cell r="C13">
            <v>1052</v>
          </cell>
          <cell r="D13">
            <v>6.69</v>
          </cell>
        </row>
        <row r="14">
          <cell r="A14" t="str">
            <v>bus-1061</v>
          </cell>
          <cell r="B14" t="str">
            <v>bus</v>
          </cell>
          <cell r="C14">
            <v>1061</v>
          </cell>
          <cell r="D14">
            <v>5.45</v>
          </cell>
        </row>
        <row r="15">
          <cell r="A15" t="str">
            <v>bus-1062</v>
          </cell>
          <cell r="B15" t="str">
            <v>bus</v>
          </cell>
          <cell r="C15">
            <v>1062</v>
          </cell>
          <cell r="D15">
            <v>4.87</v>
          </cell>
        </row>
        <row r="16">
          <cell r="A16" t="str">
            <v>bus-1071</v>
          </cell>
          <cell r="B16" t="str">
            <v>bus</v>
          </cell>
          <cell r="C16">
            <v>1071</v>
          </cell>
          <cell r="D16">
            <v>5.89</v>
          </cell>
        </row>
        <row r="17">
          <cell r="A17" t="str">
            <v>bus-1072</v>
          </cell>
          <cell r="B17" t="str">
            <v>bus</v>
          </cell>
          <cell r="C17">
            <v>1072</v>
          </cell>
          <cell r="D17">
            <v>6.18</v>
          </cell>
        </row>
        <row r="18">
          <cell r="A18" t="str">
            <v>bus-1081</v>
          </cell>
          <cell r="B18" t="str">
            <v>bus</v>
          </cell>
          <cell r="C18">
            <v>1081</v>
          </cell>
          <cell r="D18">
            <v>3.55</v>
          </cell>
        </row>
        <row r="19">
          <cell r="A19" t="str">
            <v>bus-1082</v>
          </cell>
          <cell r="B19" t="str">
            <v>bus</v>
          </cell>
          <cell r="C19">
            <v>1082</v>
          </cell>
          <cell r="D19">
            <v>2.78</v>
          </cell>
        </row>
        <row r="20">
          <cell r="A20" t="str">
            <v>bus-1091</v>
          </cell>
          <cell r="B20" t="str">
            <v>bus</v>
          </cell>
          <cell r="C20">
            <v>1091</v>
          </cell>
          <cell r="D20">
            <v>6.15</v>
          </cell>
        </row>
        <row r="21">
          <cell r="A21" t="str">
            <v>bus-1092</v>
          </cell>
          <cell r="B21" t="str">
            <v>bus</v>
          </cell>
          <cell r="C21">
            <v>1092</v>
          </cell>
          <cell r="D21">
            <v>5.49</v>
          </cell>
        </row>
        <row r="22">
          <cell r="A22" t="str">
            <v>bus-1101</v>
          </cell>
          <cell r="B22" t="str">
            <v>bus</v>
          </cell>
          <cell r="C22">
            <v>1101</v>
          </cell>
          <cell r="D22">
            <v>2.93</v>
          </cell>
        </row>
        <row r="23">
          <cell r="A23" t="str">
            <v>bus-1102</v>
          </cell>
          <cell r="B23" t="str">
            <v>bus</v>
          </cell>
          <cell r="C23">
            <v>1102</v>
          </cell>
          <cell r="D23">
            <v>3.3</v>
          </cell>
        </row>
        <row r="24">
          <cell r="A24" t="str">
            <v>bus-1111</v>
          </cell>
          <cell r="B24" t="str">
            <v>bus</v>
          </cell>
          <cell r="C24">
            <v>1111</v>
          </cell>
          <cell r="D24">
            <v>4.4400000000000004</v>
          </cell>
        </row>
        <row r="25">
          <cell r="A25" t="str">
            <v>bus-1112</v>
          </cell>
          <cell r="B25" t="str">
            <v>bus</v>
          </cell>
          <cell r="C25">
            <v>1112</v>
          </cell>
          <cell r="D25">
            <v>4.28</v>
          </cell>
        </row>
        <row r="26">
          <cell r="A26" t="str">
            <v>bus-1121</v>
          </cell>
          <cell r="B26" t="str">
            <v>bus</v>
          </cell>
          <cell r="C26">
            <v>1121</v>
          </cell>
          <cell r="D26">
            <v>4.09</v>
          </cell>
        </row>
        <row r="27">
          <cell r="A27" t="str">
            <v>bus-1122</v>
          </cell>
          <cell r="B27" t="str">
            <v>bus</v>
          </cell>
          <cell r="C27">
            <v>1122</v>
          </cell>
          <cell r="D27">
            <v>2.99</v>
          </cell>
        </row>
        <row r="28">
          <cell r="A28" t="str">
            <v>bus-1131</v>
          </cell>
          <cell r="B28" t="str">
            <v>bus</v>
          </cell>
          <cell r="C28">
            <v>1131</v>
          </cell>
          <cell r="D28">
            <v>6.45</v>
          </cell>
        </row>
        <row r="29">
          <cell r="A29" t="str">
            <v>bus-1132</v>
          </cell>
          <cell r="B29" t="str">
            <v>bus</v>
          </cell>
          <cell r="C29">
            <v>1132</v>
          </cell>
          <cell r="D29">
            <v>4.49</v>
          </cell>
        </row>
        <row r="30">
          <cell r="A30" t="str">
            <v>bus-1141</v>
          </cell>
          <cell r="B30" t="str">
            <v>bus</v>
          </cell>
          <cell r="C30">
            <v>1141</v>
          </cell>
          <cell r="D30">
            <v>6.73</v>
          </cell>
        </row>
        <row r="31">
          <cell r="A31" t="str">
            <v>bus-1142</v>
          </cell>
          <cell r="B31" t="str">
            <v>bus</v>
          </cell>
          <cell r="C31">
            <v>1142</v>
          </cell>
          <cell r="D31">
            <v>6.94</v>
          </cell>
        </row>
        <row r="32">
          <cell r="A32" t="str">
            <v>bus-1151</v>
          </cell>
          <cell r="B32" t="str">
            <v>bus</v>
          </cell>
          <cell r="C32">
            <v>1151</v>
          </cell>
          <cell r="D32">
            <v>4.9000000000000004</v>
          </cell>
        </row>
        <row r="33">
          <cell r="A33" t="str">
            <v>bus-1152</v>
          </cell>
          <cell r="B33" t="str">
            <v>bus</v>
          </cell>
          <cell r="C33">
            <v>1152</v>
          </cell>
          <cell r="D33">
            <v>4.42</v>
          </cell>
        </row>
        <row r="34">
          <cell r="A34" t="str">
            <v>bus-1161</v>
          </cell>
          <cell r="B34" t="str">
            <v>bus</v>
          </cell>
          <cell r="C34">
            <v>1161</v>
          </cell>
          <cell r="D34">
            <v>4.49</v>
          </cell>
        </row>
        <row r="35">
          <cell r="A35" t="str">
            <v>bus-1162</v>
          </cell>
          <cell r="B35" t="str">
            <v>bus</v>
          </cell>
          <cell r="C35">
            <v>1162</v>
          </cell>
          <cell r="D35">
            <v>5.76</v>
          </cell>
        </row>
        <row r="36">
          <cell r="A36" t="str">
            <v>bus-1171</v>
          </cell>
          <cell r="B36" t="str">
            <v>bus</v>
          </cell>
          <cell r="C36">
            <v>1171</v>
          </cell>
          <cell r="D36">
            <v>0.3</v>
          </cell>
        </row>
        <row r="37">
          <cell r="A37" t="str">
            <v>bus-1172</v>
          </cell>
          <cell r="B37" t="str">
            <v>bus</v>
          </cell>
          <cell r="C37">
            <v>1172</v>
          </cell>
          <cell r="D37">
            <v>0.32</v>
          </cell>
        </row>
        <row r="38">
          <cell r="A38" t="str">
            <v>bus-1191</v>
          </cell>
          <cell r="B38" t="str">
            <v>bus</v>
          </cell>
          <cell r="C38">
            <v>1191</v>
          </cell>
          <cell r="D38">
            <v>3.38</v>
          </cell>
        </row>
        <row r="39">
          <cell r="A39" t="str">
            <v>bus-1192</v>
          </cell>
          <cell r="B39" t="str">
            <v>bus</v>
          </cell>
          <cell r="C39">
            <v>1192</v>
          </cell>
          <cell r="D39">
            <v>3.22</v>
          </cell>
        </row>
        <row r="40">
          <cell r="A40" t="str">
            <v>bus-1201</v>
          </cell>
          <cell r="B40" t="str">
            <v>bus</v>
          </cell>
          <cell r="C40">
            <v>1201</v>
          </cell>
          <cell r="D40">
            <v>0.74</v>
          </cell>
        </row>
        <row r="41">
          <cell r="A41" t="str">
            <v>bus-1202</v>
          </cell>
          <cell r="B41" t="str">
            <v>bus</v>
          </cell>
          <cell r="C41">
            <v>1202</v>
          </cell>
          <cell r="D41">
            <v>0.38</v>
          </cell>
        </row>
        <row r="42">
          <cell r="A42" t="str">
            <v>bus-1211</v>
          </cell>
          <cell r="B42" t="str">
            <v>bus</v>
          </cell>
          <cell r="C42">
            <v>1211</v>
          </cell>
          <cell r="D42">
            <v>1.07</v>
          </cell>
        </row>
        <row r="43">
          <cell r="A43" t="str">
            <v>bus-1212</v>
          </cell>
          <cell r="B43" t="str">
            <v>bus</v>
          </cell>
          <cell r="C43">
            <v>1212</v>
          </cell>
          <cell r="D43">
            <v>0.63</v>
          </cell>
        </row>
        <row r="44">
          <cell r="A44" t="str">
            <v>bus-1221</v>
          </cell>
          <cell r="B44" t="str">
            <v>bus</v>
          </cell>
          <cell r="C44">
            <v>1221</v>
          </cell>
          <cell r="D44">
            <v>4.3600000000000003</v>
          </cell>
        </row>
        <row r="45">
          <cell r="A45" t="str">
            <v>bus-1222</v>
          </cell>
          <cell r="B45" t="str">
            <v>bus</v>
          </cell>
          <cell r="C45">
            <v>1222</v>
          </cell>
          <cell r="D45">
            <v>4.67</v>
          </cell>
        </row>
        <row r="46">
          <cell r="A46" t="str">
            <v>bus-1251</v>
          </cell>
          <cell r="B46" t="str">
            <v>bus</v>
          </cell>
          <cell r="C46">
            <v>1251</v>
          </cell>
          <cell r="D46">
            <v>3.33</v>
          </cell>
        </row>
        <row r="47">
          <cell r="A47" t="str">
            <v>bus-1252</v>
          </cell>
          <cell r="B47" t="str">
            <v>bus</v>
          </cell>
          <cell r="C47">
            <v>1252</v>
          </cell>
          <cell r="D47">
            <v>2.86</v>
          </cell>
        </row>
        <row r="48">
          <cell r="A48" t="str">
            <v>bus-1261</v>
          </cell>
          <cell r="B48" t="str">
            <v>bus</v>
          </cell>
          <cell r="C48">
            <v>1261</v>
          </cell>
          <cell r="D48">
            <v>0.5</v>
          </cell>
        </row>
        <row r="49">
          <cell r="A49" t="str">
            <v>bus-1262</v>
          </cell>
          <cell r="B49" t="str">
            <v>bus</v>
          </cell>
          <cell r="C49">
            <v>1262</v>
          </cell>
          <cell r="D49">
            <v>0.71</v>
          </cell>
        </row>
        <row r="50">
          <cell r="A50" t="str">
            <v>bus-2011</v>
          </cell>
          <cell r="B50" t="str">
            <v>bus</v>
          </cell>
          <cell r="C50">
            <v>2011</v>
          </cell>
          <cell r="D50">
            <v>12.06</v>
          </cell>
        </row>
        <row r="51">
          <cell r="A51" t="str">
            <v>bus-2012</v>
          </cell>
          <cell r="B51" t="str">
            <v>bus</v>
          </cell>
          <cell r="C51">
            <v>2012</v>
          </cell>
          <cell r="D51">
            <v>11.09</v>
          </cell>
        </row>
        <row r="52">
          <cell r="A52" t="str">
            <v>bus-2021</v>
          </cell>
          <cell r="B52" t="str">
            <v>bus</v>
          </cell>
          <cell r="C52">
            <v>2021</v>
          </cell>
          <cell r="D52">
            <v>4.71</v>
          </cell>
        </row>
        <row r="53">
          <cell r="A53" t="str">
            <v>bus-2022</v>
          </cell>
          <cell r="B53" t="str">
            <v>bus</v>
          </cell>
          <cell r="C53">
            <v>2022</v>
          </cell>
          <cell r="D53">
            <v>4.0999999999999996</v>
          </cell>
        </row>
        <row r="54">
          <cell r="A54" t="str">
            <v>bus-2031</v>
          </cell>
          <cell r="B54" t="str">
            <v>bus</v>
          </cell>
          <cell r="C54">
            <v>2031</v>
          </cell>
          <cell r="D54">
            <v>4.96</v>
          </cell>
        </row>
        <row r="55">
          <cell r="A55" t="str">
            <v>bus-2032</v>
          </cell>
          <cell r="B55" t="str">
            <v>bus</v>
          </cell>
          <cell r="C55">
            <v>2032</v>
          </cell>
          <cell r="D55">
            <v>4.84</v>
          </cell>
        </row>
        <row r="56">
          <cell r="A56" t="str">
            <v>bus-2041</v>
          </cell>
          <cell r="B56" t="str">
            <v>bus</v>
          </cell>
          <cell r="C56">
            <v>2041</v>
          </cell>
          <cell r="D56">
            <v>4.4800000000000004</v>
          </cell>
        </row>
        <row r="57">
          <cell r="A57" t="str">
            <v>bus-2042</v>
          </cell>
          <cell r="B57" t="str">
            <v>bus</v>
          </cell>
          <cell r="C57">
            <v>2042</v>
          </cell>
          <cell r="D57">
            <v>4.12</v>
          </cell>
        </row>
        <row r="58">
          <cell r="A58" t="str">
            <v>bus-2051</v>
          </cell>
          <cell r="B58" t="str">
            <v>bus</v>
          </cell>
          <cell r="C58">
            <v>2051</v>
          </cell>
          <cell r="D58">
            <v>8.61</v>
          </cell>
        </row>
        <row r="59">
          <cell r="A59" t="str">
            <v>bus-2052</v>
          </cell>
          <cell r="B59" t="str">
            <v>bus</v>
          </cell>
          <cell r="C59">
            <v>2052</v>
          </cell>
          <cell r="D59">
            <v>8.14</v>
          </cell>
        </row>
        <row r="60">
          <cell r="A60" t="str">
            <v>bus-2071</v>
          </cell>
          <cell r="B60" t="str">
            <v>bus</v>
          </cell>
          <cell r="C60">
            <v>2071</v>
          </cell>
          <cell r="D60">
            <v>1.47</v>
          </cell>
        </row>
        <row r="61">
          <cell r="A61" t="str">
            <v>bus-2072</v>
          </cell>
          <cell r="B61" t="str">
            <v>bus</v>
          </cell>
          <cell r="C61">
            <v>2072</v>
          </cell>
          <cell r="D61">
            <v>0.69</v>
          </cell>
        </row>
        <row r="62">
          <cell r="A62" t="str">
            <v>bus-2081</v>
          </cell>
          <cell r="B62" t="str">
            <v>bus</v>
          </cell>
          <cell r="C62">
            <v>2081</v>
          </cell>
          <cell r="D62">
            <v>1.06</v>
          </cell>
        </row>
        <row r="63">
          <cell r="A63" t="str">
            <v>bus-2082</v>
          </cell>
          <cell r="B63" t="str">
            <v>bus</v>
          </cell>
          <cell r="C63">
            <v>2082</v>
          </cell>
          <cell r="D63">
            <v>1.06</v>
          </cell>
        </row>
        <row r="64">
          <cell r="A64" t="str">
            <v>bus-2091</v>
          </cell>
          <cell r="B64" t="str">
            <v>bus</v>
          </cell>
          <cell r="C64">
            <v>2091</v>
          </cell>
          <cell r="D64">
            <v>8.43</v>
          </cell>
        </row>
        <row r="65">
          <cell r="A65" t="str">
            <v>bus-2092</v>
          </cell>
          <cell r="B65" t="str">
            <v>bus</v>
          </cell>
          <cell r="C65">
            <v>2092</v>
          </cell>
          <cell r="D65">
            <v>7.98</v>
          </cell>
        </row>
        <row r="66">
          <cell r="A66" t="str">
            <v>bus-2101</v>
          </cell>
          <cell r="B66" t="str">
            <v>bus</v>
          </cell>
          <cell r="C66">
            <v>2101</v>
          </cell>
          <cell r="D66">
            <v>6.85</v>
          </cell>
        </row>
        <row r="67">
          <cell r="A67" t="str">
            <v>bus-2102</v>
          </cell>
          <cell r="B67" t="str">
            <v>bus</v>
          </cell>
          <cell r="C67">
            <v>2102</v>
          </cell>
          <cell r="D67">
            <v>7.48</v>
          </cell>
        </row>
        <row r="68">
          <cell r="A68" t="str">
            <v>bus-2111</v>
          </cell>
          <cell r="B68" t="str">
            <v>bus</v>
          </cell>
          <cell r="C68">
            <v>2111</v>
          </cell>
          <cell r="D68">
            <v>3.99</v>
          </cell>
        </row>
        <row r="69">
          <cell r="A69" t="str">
            <v>bus-2112</v>
          </cell>
          <cell r="B69" t="str">
            <v>bus</v>
          </cell>
          <cell r="C69">
            <v>2112</v>
          </cell>
          <cell r="D69">
            <v>4.09</v>
          </cell>
        </row>
        <row r="70">
          <cell r="A70" t="str">
            <v>bus-2121</v>
          </cell>
          <cell r="B70" t="str">
            <v>bus</v>
          </cell>
          <cell r="C70">
            <v>2121</v>
          </cell>
          <cell r="D70">
            <v>9.17</v>
          </cell>
        </row>
        <row r="71">
          <cell r="A71" t="str">
            <v>bus-2122</v>
          </cell>
          <cell r="B71" t="str">
            <v>bus</v>
          </cell>
          <cell r="C71">
            <v>2122</v>
          </cell>
          <cell r="D71">
            <v>6.31</v>
          </cell>
        </row>
        <row r="72">
          <cell r="A72" t="str">
            <v>bus-2131</v>
          </cell>
          <cell r="B72" t="str">
            <v>bus</v>
          </cell>
          <cell r="C72">
            <v>2131</v>
          </cell>
          <cell r="D72">
            <v>8.2899999999999991</v>
          </cell>
        </row>
        <row r="73">
          <cell r="A73" t="str">
            <v>bus-2132</v>
          </cell>
          <cell r="B73" t="str">
            <v>bus</v>
          </cell>
          <cell r="C73">
            <v>2132</v>
          </cell>
          <cell r="D73">
            <v>8.6999999999999993</v>
          </cell>
        </row>
        <row r="74">
          <cell r="A74" t="str">
            <v>bus-2141</v>
          </cell>
          <cell r="B74" t="str">
            <v>bus</v>
          </cell>
          <cell r="C74">
            <v>2141</v>
          </cell>
          <cell r="D74">
            <v>10.64</v>
          </cell>
        </row>
        <row r="75">
          <cell r="A75" t="str">
            <v>bus-2142</v>
          </cell>
          <cell r="B75" t="str">
            <v>bus</v>
          </cell>
          <cell r="C75">
            <v>2142</v>
          </cell>
          <cell r="D75">
            <v>9.74</v>
          </cell>
        </row>
        <row r="76">
          <cell r="A76" t="str">
            <v>bus-2151</v>
          </cell>
          <cell r="B76" t="str">
            <v>bus</v>
          </cell>
          <cell r="C76">
            <v>2151</v>
          </cell>
          <cell r="D76">
            <v>4.5599999999999996</v>
          </cell>
        </row>
        <row r="77">
          <cell r="A77" t="str">
            <v>bus-2152</v>
          </cell>
          <cell r="B77" t="str">
            <v>bus</v>
          </cell>
          <cell r="C77">
            <v>2152</v>
          </cell>
          <cell r="D77">
            <v>0.88</v>
          </cell>
        </row>
        <row r="78">
          <cell r="A78" t="str">
            <v>bus-2161</v>
          </cell>
          <cell r="B78" t="str">
            <v>bus</v>
          </cell>
          <cell r="C78">
            <v>2161</v>
          </cell>
          <cell r="D78">
            <v>3.99</v>
          </cell>
        </row>
        <row r="79">
          <cell r="A79" t="str">
            <v>bus-2162</v>
          </cell>
          <cell r="B79" t="str">
            <v>bus</v>
          </cell>
          <cell r="C79">
            <v>2162</v>
          </cell>
          <cell r="D79">
            <v>9.68</v>
          </cell>
        </row>
        <row r="80">
          <cell r="A80" t="str">
            <v>bus-3011</v>
          </cell>
          <cell r="B80" t="str">
            <v>bus</v>
          </cell>
          <cell r="C80">
            <v>3011</v>
          </cell>
          <cell r="D80">
            <v>5.26</v>
          </cell>
        </row>
        <row r="81">
          <cell r="A81" t="str">
            <v>bus-3012</v>
          </cell>
          <cell r="B81" t="str">
            <v>bus</v>
          </cell>
          <cell r="C81">
            <v>3012</v>
          </cell>
          <cell r="D81">
            <v>5.66</v>
          </cell>
        </row>
        <row r="82">
          <cell r="A82" t="str">
            <v>bus-3021</v>
          </cell>
          <cell r="B82" t="str">
            <v>bus</v>
          </cell>
          <cell r="C82">
            <v>3021</v>
          </cell>
          <cell r="D82">
            <v>10.18</v>
          </cell>
        </row>
        <row r="83">
          <cell r="A83" t="str">
            <v>bus-3022</v>
          </cell>
          <cell r="B83" t="str">
            <v>bus</v>
          </cell>
          <cell r="C83">
            <v>3022</v>
          </cell>
          <cell r="D83">
            <v>8.35</v>
          </cell>
        </row>
        <row r="84">
          <cell r="A84" t="str">
            <v>bus-3031</v>
          </cell>
          <cell r="B84" t="str">
            <v>bus</v>
          </cell>
          <cell r="C84">
            <v>3031</v>
          </cell>
          <cell r="D84">
            <v>7.55</v>
          </cell>
        </row>
        <row r="85">
          <cell r="A85" t="str">
            <v>bus-3032</v>
          </cell>
          <cell r="B85" t="str">
            <v>bus</v>
          </cell>
          <cell r="C85">
            <v>3032</v>
          </cell>
          <cell r="D85">
            <v>8.74</v>
          </cell>
        </row>
        <row r="86">
          <cell r="A86" t="str">
            <v>bus-3041</v>
          </cell>
          <cell r="B86" t="str">
            <v>bus</v>
          </cell>
          <cell r="C86">
            <v>3041</v>
          </cell>
          <cell r="D86">
            <v>8.65</v>
          </cell>
        </row>
        <row r="87">
          <cell r="A87" t="str">
            <v>bus-3042</v>
          </cell>
          <cell r="B87" t="str">
            <v>bus</v>
          </cell>
          <cell r="C87">
            <v>3042</v>
          </cell>
          <cell r="D87">
            <v>9.27</v>
          </cell>
        </row>
        <row r="88">
          <cell r="A88" t="str">
            <v>bus-3051</v>
          </cell>
          <cell r="B88" t="str">
            <v>bus</v>
          </cell>
          <cell r="C88">
            <v>3051</v>
          </cell>
          <cell r="D88">
            <v>4.8600000000000003</v>
          </cell>
        </row>
        <row r="89">
          <cell r="A89" t="str">
            <v>bus-3052</v>
          </cell>
          <cell r="B89" t="str">
            <v>bus</v>
          </cell>
          <cell r="C89">
            <v>3052</v>
          </cell>
          <cell r="D89">
            <v>4.6500000000000004</v>
          </cell>
        </row>
        <row r="90">
          <cell r="A90" t="str">
            <v>bus-3061</v>
          </cell>
          <cell r="B90" t="str">
            <v>bus</v>
          </cell>
          <cell r="C90">
            <v>3061</v>
          </cell>
          <cell r="D90">
            <v>4.34</v>
          </cell>
        </row>
        <row r="91">
          <cell r="A91" t="str">
            <v>bus-3062</v>
          </cell>
          <cell r="B91" t="str">
            <v>bus</v>
          </cell>
          <cell r="C91">
            <v>3062</v>
          </cell>
          <cell r="D91">
            <v>4.93</v>
          </cell>
        </row>
        <row r="92">
          <cell r="A92" t="str">
            <v>bus-3071</v>
          </cell>
          <cell r="B92" t="str">
            <v>bus</v>
          </cell>
          <cell r="C92">
            <v>3071</v>
          </cell>
          <cell r="D92">
            <v>9.4700000000000006</v>
          </cell>
        </row>
        <row r="93">
          <cell r="A93" t="str">
            <v>bus-3072</v>
          </cell>
          <cell r="B93" t="str">
            <v>bus</v>
          </cell>
          <cell r="C93">
            <v>3072</v>
          </cell>
          <cell r="D93">
            <v>7.32</v>
          </cell>
        </row>
        <row r="94">
          <cell r="A94" t="str">
            <v>bus-3081</v>
          </cell>
          <cell r="B94" t="str">
            <v>bus</v>
          </cell>
          <cell r="C94">
            <v>3081</v>
          </cell>
          <cell r="D94">
            <v>3.28</v>
          </cell>
        </row>
        <row r="95">
          <cell r="A95" t="str">
            <v>bus-3082</v>
          </cell>
          <cell r="B95" t="str">
            <v>bus</v>
          </cell>
          <cell r="C95">
            <v>3082</v>
          </cell>
          <cell r="D95">
            <v>3.33</v>
          </cell>
        </row>
        <row r="96">
          <cell r="A96" t="str">
            <v>bus-3091</v>
          </cell>
          <cell r="B96" t="str">
            <v>bus</v>
          </cell>
          <cell r="C96">
            <v>3091</v>
          </cell>
          <cell r="D96">
            <v>12.66</v>
          </cell>
        </row>
        <row r="97">
          <cell r="A97" t="str">
            <v>bus-3092</v>
          </cell>
          <cell r="B97" t="str">
            <v>bus</v>
          </cell>
          <cell r="C97">
            <v>3092</v>
          </cell>
          <cell r="D97">
            <v>4.82</v>
          </cell>
        </row>
        <row r="98">
          <cell r="A98" t="str">
            <v>bus-4011</v>
          </cell>
          <cell r="B98" t="str">
            <v>bus</v>
          </cell>
          <cell r="C98">
            <v>4011</v>
          </cell>
          <cell r="D98">
            <v>4.72</v>
          </cell>
        </row>
        <row r="99">
          <cell r="A99" t="str">
            <v>bus-4012</v>
          </cell>
          <cell r="B99" t="str">
            <v>bus</v>
          </cell>
          <cell r="C99">
            <v>4012</v>
          </cell>
          <cell r="D99">
            <v>2.85</v>
          </cell>
        </row>
        <row r="100">
          <cell r="A100" t="str">
            <v>bus-4021</v>
          </cell>
          <cell r="B100" t="str">
            <v>bus</v>
          </cell>
          <cell r="C100">
            <v>4021</v>
          </cell>
          <cell r="D100">
            <v>2.85</v>
          </cell>
        </row>
        <row r="101">
          <cell r="A101" t="str">
            <v>bus-4022</v>
          </cell>
          <cell r="B101" t="str">
            <v>bus</v>
          </cell>
          <cell r="C101">
            <v>4022</v>
          </cell>
          <cell r="D101">
            <v>1.61</v>
          </cell>
        </row>
        <row r="102">
          <cell r="A102" t="str">
            <v>bus-4031</v>
          </cell>
          <cell r="B102" t="str">
            <v>bus</v>
          </cell>
          <cell r="C102">
            <v>4031</v>
          </cell>
          <cell r="D102">
            <v>3.04</v>
          </cell>
        </row>
        <row r="103">
          <cell r="A103" t="str">
            <v>bus-4032</v>
          </cell>
          <cell r="B103" t="str">
            <v>bus</v>
          </cell>
          <cell r="C103">
            <v>4032</v>
          </cell>
          <cell r="D103">
            <v>3.18</v>
          </cell>
        </row>
        <row r="104">
          <cell r="A104" t="str">
            <v>bus-4041</v>
          </cell>
          <cell r="B104" t="str">
            <v>bus</v>
          </cell>
          <cell r="C104">
            <v>4041</v>
          </cell>
          <cell r="D104">
            <v>3.95</v>
          </cell>
        </row>
        <row r="105">
          <cell r="A105" t="str">
            <v>bus-4042</v>
          </cell>
          <cell r="B105" t="str">
            <v>bus</v>
          </cell>
          <cell r="C105">
            <v>4042</v>
          </cell>
          <cell r="D105">
            <v>4.09</v>
          </cell>
        </row>
        <row r="106">
          <cell r="A106" t="str">
            <v>bus-4051</v>
          </cell>
          <cell r="B106" t="str">
            <v>bus</v>
          </cell>
          <cell r="C106">
            <v>4051</v>
          </cell>
          <cell r="D106">
            <v>1.7</v>
          </cell>
        </row>
        <row r="107">
          <cell r="A107" t="str">
            <v>bus-4052</v>
          </cell>
          <cell r="B107" t="str">
            <v>bus</v>
          </cell>
          <cell r="C107">
            <v>4052</v>
          </cell>
          <cell r="D107">
            <v>4.37</v>
          </cell>
        </row>
        <row r="108">
          <cell r="A108" t="str">
            <v>bus-4061</v>
          </cell>
          <cell r="B108" t="str">
            <v>bus</v>
          </cell>
          <cell r="C108">
            <v>4061</v>
          </cell>
          <cell r="D108">
            <v>7.15</v>
          </cell>
        </row>
        <row r="109">
          <cell r="A109" t="str">
            <v>bus-4062</v>
          </cell>
          <cell r="B109" t="str">
            <v>bus</v>
          </cell>
          <cell r="C109">
            <v>4062</v>
          </cell>
          <cell r="D109">
            <v>8.5</v>
          </cell>
        </row>
        <row r="110">
          <cell r="A110" t="str">
            <v>bus-4071</v>
          </cell>
          <cell r="B110" t="str">
            <v>bus</v>
          </cell>
          <cell r="C110">
            <v>4071</v>
          </cell>
          <cell r="D110">
            <v>1.41</v>
          </cell>
        </row>
        <row r="111">
          <cell r="A111" t="str">
            <v>bus-4072</v>
          </cell>
          <cell r="B111" t="str">
            <v>bus</v>
          </cell>
          <cell r="C111">
            <v>4072</v>
          </cell>
          <cell r="D111">
            <v>1.33</v>
          </cell>
        </row>
        <row r="112">
          <cell r="A112" t="str">
            <v>bus-4091</v>
          </cell>
          <cell r="B112" t="str">
            <v>bus</v>
          </cell>
          <cell r="C112">
            <v>4091</v>
          </cell>
          <cell r="D112">
            <v>0.94</v>
          </cell>
        </row>
        <row r="113">
          <cell r="A113" t="str">
            <v>bus-4092</v>
          </cell>
          <cell r="B113" t="str">
            <v>bus</v>
          </cell>
          <cell r="C113">
            <v>4092</v>
          </cell>
          <cell r="D113">
            <v>0.61</v>
          </cell>
        </row>
        <row r="114">
          <cell r="A114" t="str">
            <v>bus-4101</v>
          </cell>
          <cell r="B114" t="str">
            <v>bus</v>
          </cell>
          <cell r="C114">
            <v>4101</v>
          </cell>
          <cell r="D114">
            <v>8.7200000000000006</v>
          </cell>
        </row>
        <row r="115">
          <cell r="A115" t="str">
            <v>bus-4102</v>
          </cell>
          <cell r="B115" t="str">
            <v>bus</v>
          </cell>
          <cell r="C115">
            <v>4102</v>
          </cell>
          <cell r="D115">
            <v>7.36</v>
          </cell>
        </row>
        <row r="116">
          <cell r="A116" t="str">
            <v>bus-4111</v>
          </cell>
          <cell r="B116" t="str">
            <v>bus</v>
          </cell>
          <cell r="C116">
            <v>4111</v>
          </cell>
          <cell r="D116">
            <v>4.1900000000000004</v>
          </cell>
        </row>
        <row r="117">
          <cell r="A117" t="str">
            <v>bus-4112</v>
          </cell>
          <cell r="B117" t="str">
            <v>bus</v>
          </cell>
          <cell r="C117">
            <v>4112</v>
          </cell>
          <cell r="D117">
            <v>3.7</v>
          </cell>
        </row>
        <row r="118">
          <cell r="A118" t="str">
            <v>bus-4121</v>
          </cell>
          <cell r="B118" t="str">
            <v>bus</v>
          </cell>
          <cell r="C118">
            <v>4121</v>
          </cell>
          <cell r="D118">
            <v>5.93</v>
          </cell>
        </row>
        <row r="119">
          <cell r="A119" t="str">
            <v>bus-4122</v>
          </cell>
          <cell r="B119" t="str">
            <v>bus</v>
          </cell>
          <cell r="C119">
            <v>4122</v>
          </cell>
          <cell r="D119">
            <v>7.44</v>
          </cell>
        </row>
        <row r="120">
          <cell r="A120" t="str">
            <v>bus-5011</v>
          </cell>
          <cell r="B120" t="str">
            <v>bus</v>
          </cell>
          <cell r="C120">
            <v>5011</v>
          </cell>
          <cell r="D120">
            <v>9.7100000000000009</v>
          </cell>
        </row>
        <row r="121">
          <cell r="A121" t="str">
            <v>bus-5012</v>
          </cell>
          <cell r="B121" t="str">
            <v>bus</v>
          </cell>
          <cell r="C121">
            <v>5012</v>
          </cell>
          <cell r="D121">
            <v>8.26</v>
          </cell>
        </row>
        <row r="122">
          <cell r="A122" t="str">
            <v>bus-5031</v>
          </cell>
          <cell r="B122" t="str">
            <v>bus</v>
          </cell>
          <cell r="C122">
            <v>5031</v>
          </cell>
          <cell r="D122">
            <v>2.21</v>
          </cell>
        </row>
        <row r="123">
          <cell r="A123" t="str">
            <v>bus-5032</v>
          </cell>
          <cell r="B123" t="str">
            <v>bus</v>
          </cell>
          <cell r="C123">
            <v>5032</v>
          </cell>
          <cell r="D123">
            <v>1.08</v>
          </cell>
        </row>
        <row r="124">
          <cell r="A124" t="str">
            <v>bus-5041</v>
          </cell>
          <cell r="B124" t="str">
            <v>bus</v>
          </cell>
          <cell r="C124">
            <v>5041</v>
          </cell>
          <cell r="D124">
            <v>4.37</v>
          </cell>
        </row>
        <row r="125">
          <cell r="A125" t="str">
            <v>bus-5042</v>
          </cell>
          <cell r="B125" t="str">
            <v>bus</v>
          </cell>
          <cell r="C125">
            <v>5042</v>
          </cell>
          <cell r="D125">
            <v>4.0999999999999996</v>
          </cell>
        </row>
        <row r="126">
          <cell r="A126" t="str">
            <v>bus-5051</v>
          </cell>
          <cell r="B126" t="str">
            <v>bus</v>
          </cell>
          <cell r="C126">
            <v>5051</v>
          </cell>
          <cell r="D126">
            <v>7.13</v>
          </cell>
        </row>
        <row r="127">
          <cell r="A127" t="str">
            <v>bus-5052</v>
          </cell>
          <cell r="B127" t="str">
            <v>bus</v>
          </cell>
          <cell r="C127">
            <v>5052</v>
          </cell>
          <cell r="D127">
            <v>6.9</v>
          </cell>
        </row>
        <row r="128">
          <cell r="A128" t="str">
            <v>bus-5061</v>
          </cell>
          <cell r="B128" t="str">
            <v>bus</v>
          </cell>
          <cell r="C128">
            <v>5061</v>
          </cell>
          <cell r="D128">
            <v>4.88</v>
          </cell>
        </row>
        <row r="129">
          <cell r="A129" t="str">
            <v>bus-5062</v>
          </cell>
          <cell r="B129" t="str">
            <v>bus</v>
          </cell>
          <cell r="C129">
            <v>5062</v>
          </cell>
          <cell r="D129">
            <v>4.6500000000000004</v>
          </cell>
        </row>
        <row r="130">
          <cell r="A130" t="str">
            <v>bus-5071</v>
          </cell>
          <cell r="B130" t="str">
            <v>bus</v>
          </cell>
          <cell r="C130">
            <v>5071</v>
          </cell>
          <cell r="D130">
            <v>5.3</v>
          </cell>
        </row>
        <row r="131">
          <cell r="A131" t="str">
            <v>bus-5072</v>
          </cell>
          <cell r="B131" t="str">
            <v>bus</v>
          </cell>
          <cell r="C131">
            <v>5072</v>
          </cell>
          <cell r="D131">
            <v>4.6500000000000004</v>
          </cell>
        </row>
        <row r="132">
          <cell r="A132" t="str">
            <v>bus-5081</v>
          </cell>
          <cell r="B132" t="str">
            <v>bus</v>
          </cell>
          <cell r="C132">
            <v>5081</v>
          </cell>
          <cell r="D132">
            <v>1.5</v>
          </cell>
        </row>
        <row r="133">
          <cell r="A133" t="str">
            <v>bus-5082</v>
          </cell>
          <cell r="B133" t="str">
            <v>bus</v>
          </cell>
          <cell r="C133">
            <v>5082</v>
          </cell>
          <cell r="D133">
            <v>1.98</v>
          </cell>
        </row>
        <row r="134">
          <cell r="A134" t="str">
            <v>bus-5091</v>
          </cell>
          <cell r="B134" t="str">
            <v>bus</v>
          </cell>
          <cell r="C134">
            <v>5091</v>
          </cell>
          <cell r="D134">
            <v>5.09</v>
          </cell>
        </row>
        <row r="135">
          <cell r="A135" t="str">
            <v>bus-5092</v>
          </cell>
          <cell r="B135" t="str">
            <v>bus</v>
          </cell>
          <cell r="C135">
            <v>5092</v>
          </cell>
          <cell r="D135">
            <v>4.62</v>
          </cell>
        </row>
        <row r="136">
          <cell r="A136" t="str">
            <v>bus-5101</v>
          </cell>
          <cell r="B136" t="str">
            <v>bus</v>
          </cell>
          <cell r="C136">
            <v>5101</v>
          </cell>
          <cell r="D136">
            <v>6.68</v>
          </cell>
        </row>
        <row r="137">
          <cell r="A137" t="str">
            <v>bus-5102</v>
          </cell>
          <cell r="B137" t="str">
            <v>bus</v>
          </cell>
          <cell r="C137">
            <v>5102</v>
          </cell>
          <cell r="D137">
            <v>7.38</v>
          </cell>
        </row>
        <row r="138">
          <cell r="A138" t="str">
            <v>bus-5111</v>
          </cell>
          <cell r="B138" t="str">
            <v>bus</v>
          </cell>
          <cell r="C138">
            <v>5111</v>
          </cell>
          <cell r="D138">
            <v>2.98</v>
          </cell>
        </row>
        <row r="139">
          <cell r="A139" t="str">
            <v>bus-5112</v>
          </cell>
          <cell r="B139" t="str">
            <v>bus</v>
          </cell>
          <cell r="C139">
            <v>5112</v>
          </cell>
          <cell r="D139">
            <v>2.82</v>
          </cell>
        </row>
        <row r="140">
          <cell r="A140" t="str">
            <v>bus-5121</v>
          </cell>
          <cell r="B140" t="str">
            <v>bus</v>
          </cell>
          <cell r="C140">
            <v>5121</v>
          </cell>
          <cell r="D140">
            <v>2.1</v>
          </cell>
        </row>
        <row r="141">
          <cell r="A141" t="str">
            <v>bus-5122</v>
          </cell>
          <cell r="B141" t="str">
            <v>bus</v>
          </cell>
          <cell r="C141">
            <v>5122</v>
          </cell>
          <cell r="D141">
            <v>2.17</v>
          </cell>
        </row>
        <row r="142">
          <cell r="A142" t="str">
            <v>bus-5131</v>
          </cell>
          <cell r="B142" t="str">
            <v>bus</v>
          </cell>
          <cell r="C142">
            <v>5131</v>
          </cell>
          <cell r="D142">
            <v>3.54</v>
          </cell>
        </row>
        <row r="143">
          <cell r="A143" t="str">
            <v>bus-5132</v>
          </cell>
          <cell r="B143" t="str">
            <v>bus</v>
          </cell>
          <cell r="C143">
            <v>5132</v>
          </cell>
          <cell r="D143">
            <v>3.45</v>
          </cell>
        </row>
        <row r="144">
          <cell r="A144" t="str">
            <v>bus-5141</v>
          </cell>
          <cell r="B144" t="str">
            <v>bus</v>
          </cell>
          <cell r="C144">
            <v>5141</v>
          </cell>
          <cell r="D144">
            <v>1.75</v>
          </cell>
        </row>
        <row r="145">
          <cell r="A145" t="str">
            <v>bus-5142</v>
          </cell>
          <cell r="B145" t="str">
            <v>bus</v>
          </cell>
          <cell r="C145">
            <v>5142</v>
          </cell>
          <cell r="D145">
            <v>1.1000000000000001</v>
          </cell>
        </row>
        <row r="146">
          <cell r="A146" t="str">
            <v>bus-5151</v>
          </cell>
          <cell r="B146" t="str">
            <v>bus</v>
          </cell>
          <cell r="C146">
            <v>5151</v>
          </cell>
          <cell r="D146">
            <v>1.77</v>
          </cell>
        </row>
        <row r="147">
          <cell r="A147" t="str">
            <v>bus-5152</v>
          </cell>
          <cell r="B147" t="str">
            <v>bus</v>
          </cell>
          <cell r="C147">
            <v>5152</v>
          </cell>
          <cell r="D147">
            <v>1.63</v>
          </cell>
        </row>
        <row r="148">
          <cell r="A148" t="str">
            <v>bus-5161</v>
          </cell>
          <cell r="B148" t="str">
            <v>bus</v>
          </cell>
          <cell r="C148">
            <v>5161</v>
          </cell>
          <cell r="D148">
            <v>0.59</v>
          </cell>
        </row>
        <row r="149">
          <cell r="A149" t="str">
            <v>bus-5162</v>
          </cell>
          <cell r="B149" t="str">
            <v>bus</v>
          </cell>
          <cell r="C149">
            <v>5162</v>
          </cell>
          <cell r="D149">
            <v>0.53</v>
          </cell>
        </row>
        <row r="150">
          <cell r="A150" t="str">
            <v>bus-5171</v>
          </cell>
          <cell r="B150" t="str">
            <v>bus</v>
          </cell>
          <cell r="C150">
            <v>5171</v>
          </cell>
          <cell r="D150">
            <v>1.81</v>
          </cell>
        </row>
        <row r="151">
          <cell r="A151" t="str">
            <v>bus-5172</v>
          </cell>
          <cell r="B151" t="str">
            <v>bus</v>
          </cell>
          <cell r="C151">
            <v>5172</v>
          </cell>
          <cell r="D151">
            <v>1.52</v>
          </cell>
        </row>
        <row r="152">
          <cell r="A152" t="str">
            <v>bus-5181</v>
          </cell>
          <cell r="B152" t="str">
            <v>bus</v>
          </cell>
          <cell r="C152">
            <v>5181</v>
          </cell>
          <cell r="D152">
            <v>2.4900000000000002</v>
          </cell>
        </row>
        <row r="153">
          <cell r="A153" t="str">
            <v>bus-5182</v>
          </cell>
          <cell r="B153" t="str">
            <v>bus</v>
          </cell>
          <cell r="C153">
            <v>5182</v>
          </cell>
          <cell r="D153">
            <v>2.3199999999999998</v>
          </cell>
        </row>
        <row r="154">
          <cell r="A154" t="str">
            <v>bus-5191</v>
          </cell>
          <cell r="B154" t="str">
            <v>bus</v>
          </cell>
          <cell r="C154">
            <v>5191</v>
          </cell>
          <cell r="D154">
            <v>1.48</v>
          </cell>
        </row>
        <row r="155">
          <cell r="A155" t="str">
            <v>bus-5192</v>
          </cell>
          <cell r="B155" t="str">
            <v>bus</v>
          </cell>
          <cell r="C155">
            <v>5192</v>
          </cell>
          <cell r="D155">
            <v>0.51</v>
          </cell>
        </row>
        <row r="156">
          <cell r="A156" t="str">
            <v>bus-5201</v>
          </cell>
          <cell r="B156" t="str">
            <v>bus</v>
          </cell>
          <cell r="C156">
            <v>5201</v>
          </cell>
          <cell r="D156">
            <v>1.79</v>
          </cell>
        </row>
        <row r="157">
          <cell r="A157" t="str">
            <v>bus-5202</v>
          </cell>
          <cell r="B157" t="str">
            <v>bus</v>
          </cell>
          <cell r="C157">
            <v>5202</v>
          </cell>
          <cell r="D157">
            <v>1.33</v>
          </cell>
        </row>
        <row r="158">
          <cell r="A158" t="str">
            <v>bus-5221</v>
          </cell>
          <cell r="B158" t="str">
            <v>bus</v>
          </cell>
          <cell r="C158">
            <v>5221</v>
          </cell>
          <cell r="D158">
            <v>1.99</v>
          </cell>
        </row>
        <row r="159">
          <cell r="A159" t="str">
            <v>bus-5222</v>
          </cell>
          <cell r="B159" t="str">
            <v>bus</v>
          </cell>
          <cell r="C159">
            <v>5222</v>
          </cell>
          <cell r="D159">
            <v>1.52</v>
          </cell>
        </row>
        <row r="160">
          <cell r="A160" t="str">
            <v>bus-6011</v>
          </cell>
          <cell r="B160" t="str">
            <v>bus</v>
          </cell>
          <cell r="C160">
            <v>6011</v>
          </cell>
          <cell r="D160">
            <v>3.99</v>
          </cell>
        </row>
        <row r="161">
          <cell r="A161" t="str">
            <v>bus-6012</v>
          </cell>
          <cell r="B161" t="str">
            <v>bus</v>
          </cell>
          <cell r="C161">
            <v>6012</v>
          </cell>
          <cell r="D161">
            <v>3.23</v>
          </cell>
        </row>
        <row r="162">
          <cell r="A162" t="str">
            <v>bus-6021</v>
          </cell>
          <cell r="B162" t="str">
            <v>bus</v>
          </cell>
          <cell r="C162">
            <v>6021</v>
          </cell>
          <cell r="D162">
            <v>18.55</v>
          </cell>
        </row>
        <row r="163">
          <cell r="A163" t="str">
            <v>bus-6022</v>
          </cell>
          <cell r="B163" t="str">
            <v>bus</v>
          </cell>
          <cell r="C163">
            <v>6022</v>
          </cell>
          <cell r="D163">
            <v>19.27</v>
          </cell>
        </row>
        <row r="164">
          <cell r="A164" t="str">
            <v>bus-6031</v>
          </cell>
          <cell r="B164" t="str">
            <v>bus</v>
          </cell>
          <cell r="C164">
            <v>6031</v>
          </cell>
          <cell r="D164">
            <v>13.05</v>
          </cell>
        </row>
        <row r="165">
          <cell r="A165" t="str">
            <v>bus-6032</v>
          </cell>
          <cell r="B165" t="str">
            <v>bus</v>
          </cell>
          <cell r="C165">
            <v>6032</v>
          </cell>
          <cell r="D165">
            <v>13.85</v>
          </cell>
        </row>
        <row r="166">
          <cell r="A166" t="str">
            <v>bus-6041</v>
          </cell>
          <cell r="B166" t="str">
            <v>bus</v>
          </cell>
          <cell r="C166">
            <v>6041</v>
          </cell>
          <cell r="D166">
            <v>2.77</v>
          </cell>
        </row>
        <row r="167">
          <cell r="A167" t="str">
            <v>bus-6042</v>
          </cell>
          <cell r="B167" t="str">
            <v>bus</v>
          </cell>
          <cell r="C167">
            <v>6042</v>
          </cell>
          <cell r="D167">
            <v>3.3</v>
          </cell>
        </row>
        <row r="168">
          <cell r="A168" t="str">
            <v>bus-6051</v>
          </cell>
          <cell r="B168" t="str">
            <v>bus</v>
          </cell>
          <cell r="C168">
            <v>6051</v>
          </cell>
          <cell r="D168">
            <v>8.52</v>
          </cell>
        </row>
        <row r="169">
          <cell r="A169" t="str">
            <v>bus-6052</v>
          </cell>
          <cell r="B169" t="str">
            <v>bus</v>
          </cell>
          <cell r="C169">
            <v>6052</v>
          </cell>
          <cell r="D169">
            <v>7.15</v>
          </cell>
        </row>
        <row r="170">
          <cell r="A170" t="str">
            <v>bus-6061</v>
          </cell>
          <cell r="B170" t="str">
            <v>bus</v>
          </cell>
          <cell r="C170">
            <v>6061</v>
          </cell>
          <cell r="D170">
            <v>8.56</v>
          </cell>
        </row>
        <row r="171">
          <cell r="A171" t="str">
            <v>bus-6062</v>
          </cell>
          <cell r="B171" t="str">
            <v>bus</v>
          </cell>
          <cell r="C171">
            <v>6062</v>
          </cell>
          <cell r="D171">
            <v>8.25</v>
          </cell>
        </row>
        <row r="172">
          <cell r="A172" t="str">
            <v>bus-6071</v>
          </cell>
          <cell r="B172" t="str">
            <v>bus</v>
          </cell>
          <cell r="C172">
            <v>6071</v>
          </cell>
          <cell r="D172">
            <v>7.87</v>
          </cell>
        </row>
        <row r="173">
          <cell r="A173" t="str">
            <v>bus-6072</v>
          </cell>
          <cell r="B173" t="str">
            <v>bus</v>
          </cell>
          <cell r="C173">
            <v>6072</v>
          </cell>
          <cell r="D173">
            <v>7.71</v>
          </cell>
        </row>
        <row r="174">
          <cell r="A174" t="str">
            <v>bus-6081</v>
          </cell>
          <cell r="B174" t="str">
            <v>bus</v>
          </cell>
          <cell r="C174">
            <v>6081</v>
          </cell>
          <cell r="D174">
            <v>4.68</v>
          </cell>
        </row>
        <row r="175">
          <cell r="A175" t="str">
            <v>bus-6082</v>
          </cell>
          <cell r="B175" t="str">
            <v>bus</v>
          </cell>
          <cell r="C175">
            <v>6082</v>
          </cell>
          <cell r="D175">
            <v>3.75</v>
          </cell>
        </row>
        <row r="176">
          <cell r="A176" t="str">
            <v>bus-6091</v>
          </cell>
          <cell r="B176" t="str">
            <v>bus</v>
          </cell>
          <cell r="C176">
            <v>6091</v>
          </cell>
          <cell r="D176">
            <v>5.38</v>
          </cell>
        </row>
        <row r="177">
          <cell r="A177" t="str">
            <v>bus-6092</v>
          </cell>
          <cell r="B177" t="str">
            <v>bus</v>
          </cell>
          <cell r="C177">
            <v>6092</v>
          </cell>
          <cell r="D177">
            <v>5.72</v>
          </cell>
        </row>
        <row r="178">
          <cell r="A178" t="str">
            <v>bus-6101</v>
          </cell>
          <cell r="B178" t="str">
            <v>bus</v>
          </cell>
          <cell r="C178">
            <v>6101</v>
          </cell>
          <cell r="D178">
            <v>4.34</v>
          </cell>
        </row>
        <row r="179">
          <cell r="A179" t="str">
            <v>bus-6102</v>
          </cell>
          <cell r="B179" t="str">
            <v>bus</v>
          </cell>
          <cell r="C179">
            <v>6102</v>
          </cell>
          <cell r="D179">
            <v>3.5</v>
          </cell>
        </row>
        <row r="180">
          <cell r="A180" t="str">
            <v>bus-6111</v>
          </cell>
          <cell r="B180" t="str">
            <v>bus</v>
          </cell>
          <cell r="C180">
            <v>6111</v>
          </cell>
          <cell r="D180">
            <v>11.24</v>
          </cell>
        </row>
        <row r="181">
          <cell r="A181" t="str">
            <v>bus-6112</v>
          </cell>
          <cell r="B181" t="str">
            <v>bus</v>
          </cell>
          <cell r="C181">
            <v>6112</v>
          </cell>
          <cell r="D181">
            <v>11.74</v>
          </cell>
        </row>
        <row r="182">
          <cell r="A182" t="str">
            <v>bus-6121</v>
          </cell>
          <cell r="B182" t="str">
            <v>bus</v>
          </cell>
          <cell r="C182">
            <v>6121</v>
          </cell>
          <cell r="D182">
            <v>10.15</v>
          </cell>
        </row>
        <row r="183">
          <cell r="A183" t="str">
            <v>bus-6122</v>
          </cell>
          <cell r="B183" t="str">
            <v>bus</v>
          </cell>
          <cell r="C183">
            <v>6122</v>
          </cell>
          <cell r="D183">
            <v>8.2200000000000006</v>
          </cell>
        </row>
        <row r="184">
          <cell r="A184" t="str">
            <v>bus-7011</v>
          </cell>
          <cell r="B184" t="str">
            <v>bus</v>
          </cell>
          <cell r="C184">
            <v>7011</v>
          </cell>
          <cell r="D184">
            <v>6.65</v>
          </cell>
        </row>
        <row r="185">
          <cell r="A185" t="str">
            <v>bus-7012</v>
          </cell>
          <cell r="B185" t="str">
            <v>bus</v>
          </cell>
          <cell r="C185">
            <v>7012</v>
          </cell>
          <cell r="D185">
            <v>7.14</v>
          </cell>
        </row>
        <row r="186">
          <cell r="A186" t="str">
            <v>bus-7021</v>
          </cell>
          <cell r="B186" t="str">
            <v>bus</v>
          </cell>
          <cell r="C186">
            <v>7021</v>
          </cell>
          <cell r="D186">
            <v>5.66</v>
          </cell>
        </row>
        <row r="187">
          <cell r="A187" t="str">
            <v>bus-7022</v>
          </cell>
          <cell r="B187" t="str">
            <v>bus</v>
          </cell>
          <cell r="C187">
            <v>7022</v>
          </cell>
          <cell r="D187">
            <v>5.17</v>
          </cell>
        </row>
        <row r="188">
          <cell r="A188" t="str">
            <v>bus-7031</v>
          </cell>
          <cell r="B188" t="str">
            <v>bus</v>
          </cell>
          <cell r="C188">
            <v>7031</v>
          </cell>
          <cell r="D188">
            <v>4.09</v>
          </cell>
        </row>
        <row r="189">
          <cell r="A189" t="str">
            <v>bus-7032</v>
          </cell>
          <cell r="B189" t="str">
            <v>bus</v>
          </cell>
          <cell r="C189">
            <v>7032</v>
          </cell>
          <cell r="D189">
            <v>3.81</v>
          </cell>
        </row>
        <row r="190">
          <cell r="A190" t="str">
            <v>bus-7041</v>
          </cell>
          <cell r="B190" t="str">
            <v>bus</v>
          </cell>
          <cell r="C190">
            <v>7041</v>
          </cell>
          <cell r="D190">
            <v>3.53</v>
          </cell>
        </row>
        <row r="191">
          <cell r="A191" t="str">
            <v>bus-7042</v>
          </cell>
          <cell r="B191" t="str">
            <v>bus</v>
          </cell>
          <cell r="C191">
            <v>7042</v>
          </cell>
          <cell r="D191">
            <v>2.71</v>
          </cell>
        </row>
        <row r="192">
          <cell r="A192" t="str">
            <v>bus-7051</v>
          </cell>
          <cell r="B192" t="str">
            <v>bus</v>
          </cell>
          <cell r="C192">
            <v>7051</v>
          </cell>
          <cell r="D192">
            <v>5.08</v>
          </cell>
        </row>
        <row r="193">
          <cell r="A193" t="str">
            <v>bus-7052</v>
          </cell>
          <cell r="B193" t="str">
            <v>bus</v>
          </cell>
          <cell r="C193">
            <v>7052</v>
          </cell>
          <cell r="D193">
            <v>5.22</v>
          </cell>
        </row>
        <row r="194">
          <cell r="A194" t="str">
            <v>bus-7061</v>
          </cell>
          <cell r="B194" t="str">
            <v>bus</v>
          </cell>
          <cell r="C194">
            <v>7061</v>
          </cell>
          <cell r="D194">
            <v>4.46</v>
          </cell>
        </row>
        <row r="195">
          <cell r="A195" t="str">
            <v>bus-7062</v>
          </cell>
          <cell r="B195" t="str">
            <v>bus</v>
          </cell>
          <cell r="C195">
            <v>7062</v>
          </cell>
          <cell r="D195">
            <v>4.4800000000000004</v>
          </cell>
        </row>
        <row r="196">
          <cell r="A196" t="str">
            <v>bus-7071</v>
          </cell>
          <cell r="B196" t="str">
            <v>bus</v>
          </cell>
          <cell r="C196">
            <v>7071</v>
          </cell>
          <cell r="D196">
            <v>2.66</v>
          </cell>
        </row>
        <row r="197">
          <cell r="A197" t="str">
            <v>bus-7072</v>
          </cell>
          <cell r="B197" t="str">
            <v>bus</v>
          </cell>
          <cell r="C197">
            <v>7072</v>
          </cell>
          <cell r="D197">
            <v>2.48</v>
          </cell>
        </row>
        <row r="198">
          <cell r="A198" t="str">
            <v>bus-7081</v>
          </cell>
          <cell r="B198" t="str">
            <v>bus</v>
          </cell>
          <cell r="C198">
            <v>7081</v>
          </cell>
          <cell r="D198">
            <v>2.58</v>
          </cell>
        </row>
        <row r="199">
          <cell r="A199" t="str">
            <v>bus-7082</v>
          </cell>
          <cell r="B199" t="str">
            <v>bus</v>
          </cell>
          <cell r="C199">
            <v>7082</v>
          </cell>
          <cell r="D199">
            <v>2.37</v>
          </cell>
        </row>
        <row r="200">
          <cell r="A200" t="str">
            <v>bus-9011</v>
          </cell>
          <cell r="B200" t="str">
            <v>bus</v>
          </cell>
          <cell r="C200">
            <v>9011</v>
          </cell>
          <cell r="D200">
            <v>9.98</v>
          </cell>
        </row>
        <row r="201">
          <cell r="A201" t="str">
            <v>bus-9012</v>
          </cell>
          <cell r="B201" t="str">
            <v>bus</v>
          </cell>
          <cell r="C201">
            <v>9012</v>
          </cell>
          <cell r="D201">
            <v>9.75</v>
          </cell>
        </row>
        <row r="202">
          <cell r="A202" t="str">
            <v>bus-9021</v>
          </cell>
          <cell r="B202" t="str">
            <v>bus</v>
          </cell>
          <cell r="C202">
            <v>9021</v>
          </cell>
          <cell r="D202">
            <v>2.57</v>
          </cell>
        </row>
        <row r="203">
          <cell r="A203" t="str">
            <v>bus-9022</v>
          </cell>
          <cell r="B203" t="str">
            <v>bus</v>
          </cell>
          <cell r="C203">
            <v>9022</v>
          </cell>
          <cell r="D203">
            <v>3.39</v>
          </cell>
        </row>
        <row r="204">
          <cell r="A204" t="str">
            <v>bus-11</v>
          </cell>
          <cell r="B204" t="str">
            <v>bus</v>
          </cell>
          <cell r="C204">
            <v>11</v>
          </cell>
          <cell r="D204">
            <v>4.8600000000000003</v>
          </cell>
        </row>
        <row r="205">
          <cell r="A205" t="str">
            <v>bus-12</v>
          </cell>
          <cell r="B205" t="str">
            <v>bus</v>
          </cell>
          <cell r="C205">
            <v>12</v>
          </cell>
          <cell r="D205">
            <v>4.93</v>
          </cell>
        </row>
        <row r="206">
          <cell r="A206" t="str">
            <v>bus-21</v>
          </cell>
          <cell r="B206" t="str">
            <v>bus</v>
          </cell>
          <cell r="C206">
            <v>21</v>
          </cell>
          <cell r="D206">
            <v>4.67</v>
          </cell>
        </row>
        <row r="207">
          <cell r="A207" t="str">
            <v>bus-22</v>
          </cell>
          <cell r="B207" t="str">
            <v>bus</v>
          </cell>
          <cell r="C207">
            <v>22</v>
          </cell>
          <cell r="D207">
            <v>4.75</v>
          </cell>
        </row>
        <row r="208">
          <cell r="A208" t="str">
            <v>bus-8021</v>
          </cell>
          <cell r="B208" t="str">
            <v>bus</v>
          </cell>
          <cell r="C208">
            <v>8021</v>
          </cell>
          <cell r="D208">
            <v>3.09</v>
          </cell>
        </row>
        <row r="209">
          <cell r="A209" t="str">
            <v>bus-8022</v>
          </cell>
          <cell r="B209" t="str">
            <v>bus</v>
          </cell>
          <cell r="C209">
            <v>8022</v>
          </cell>
          <cell r="D209">
            <v>3.06</v>
          </cell>
        </row>
        <row r="210">
          <cell r="A210" t="str">
            <v>bus-101</v>
          </cell>
          <cell r="B210" t="str">
            <v>bus</v>
          </cell>
          <cell r="C210">
            <v>101</v>
          </cell>
          <cell r="D210">
            <v>7.0000000000000007E-2</v>
          </cell>
        </row>
        <row r="211">
          <cell r="A211" t="str">
            <v>bus-102</v>
          </cell>
          <cell r="B211" t="str">
            <v>bus</v>
          </cell>
          <cell r="C211">
            <v>102</v>
          </cell>
          <cell r="D211">
            <v>7.0000000000000007E-2</v>
          </cell>
        </row>
        <row r="212">
          <cell r="A212" t="str">
            <v>bus-201</v>
          </cell>
          <cell r="B212" t="str">
            <v>bus</v>
          </cell>
          <cell r="C212">
            <v>201</v>
          </cell>
          <cell r="D212">
            <v>0.09</v>
          </cell>
        </row>
        <row r="213">
          <cell r="A213" t="str">
            <v>bus-202</v>
          </cell>
          <cell r="B213" t="str">
            <v>bus</v>
          </cell>
          <cell r="C213">
            <v>202</v>
          </cell>
          <cell r="D213">
            <v>0.09</v>
          </cell>
        </row>
        <row r="214">
          <cell r="A214" t="str">
            <v>bus-301</v>
          </cell>
          <cell r="B214" t="str">
            <v>bus</v>
          </cell>
          <cell r="C214">
            <v>301</v>
          </cell>
          <cell r="D214">
            <v>0.06</v>
          </cell>
        </row>
        <row r="215">
          <cell r="A215" t="str">
            <v>bus-302</v>
          </cell>
          <cell r="B215" t="str">
            <v>bus</v>
          </cell>
          <cell r="C215">
            <v>302</v>
          </cell>
          <cell r="D215">
            <v>0.06</v>
          </cell>
        </row>
        <row r="216">
          <cell r="A216" t="str">
            <v>bus-401</v>
          </cell>
          <cell r="B216" t="str">
            <v>bus</v>
          </cell>
          <cell r="C216">
            <v>401</v>
          </cell>
          <cell r="D216">
            <v>7.0000000000000007E-2</v>
          </cell>
        </row>
        <row r="217">
          <cell r="A217" t="str">
            <v>bus-402</v>
          </cell>
          <cell r="B217" t="str">
            <v>bus</v>
          </cell>
          <cell r="C217">
            <v>402</v>
          </cell>
          <cell r="D217">
            <v>7.0000000000000007E-2</v>
          </cell>
        </row>
        <row r="218">
          <cell r="A218" t="str">
            <v>bus-501</v>
          </cell>
          <cell r="B218" t="str">
            <v>bus</v>
          </cell>
          <cell r="C218">
            <v>501</v>
          </cell>
          <cell r="D218">
            <v>0.11</v>
          </cell>
        </row>
        <row r="219">
          <cell r="A219" t="str">
            <v>bus-502</v>
          </cell>
          <cell r="B219" t="str">
            <v>bus</v>
          </cell>
          <cell r="C219">
            <v>502</v>
          </cell>
          <cell r="D219">
            <v>0.11</v>
          </cell>
        </row>
        <row r="220">
          <cell r="A220" t="str">
            <v>bus-601</v>
          </cell>
          <cell r="B220" t="str">
            <v>bus</v>
          </cell>
          <cell r="C220">
            <v>601</v>
          </cell>
          <cell r="D220">
            <v>0.09</v>
          </cell>
        </row>
        <row r="221">
          <cell r="A221" t="str">
            <v>bus-602</v>
          </cell>
          <cell r="B221" t="str">
            <v>bus</v>
          </cell>
          <cell r="C221">
            <v>602</v>
          </cell>
          <cell r="D221">
            <v>0.09</v>
          </cell>
        </row>
        <row r="222">
          <cell r="A222" t="str">
            <v>bus-701</v>
          </cell>
          <cell r="B222" t="str">
            <v>bus</v>
          </cell>
          <cell r="C222">
            <v>701</v>
          </cell>
          <cell r="D222">
            <v>0.05</v>
          </cell>
        </row>
        <row r="223">
          <cell r="A223" t="str">
            <v>bus-702</v>
          </cell>
          <cell r="B223" t="str">
            <v>bus</v>
          </cell>
          <cell r="C223">
            <v>702</v>
          </cell>
          <cell r="D223">
            <v>0.05</v>
          </cell>
        </row>
        <row r="224">
          <cell r="A224" t="str">
            <v>bus-801</v>
          </cell>
          <cell r="B224" t="str">
            <v>bus</v>
          </cell>
          <cell r="C224">
            <v>801</v>
          </cell>
          <cell r="D224">
            <v>7.0000000000000007E-2</v>
          </cell>
        </row>
        <row r="225">
          <cell r="A225" t="str">
            <v>bus-802</v>
          </cell>
          <cell r="B225" t="str">
            <v>bus</v>
          </cell>
          <cell r="C225">
            <v>802</v>
          </cell>
          <cell r="D225">
            <v>7.0000000000000007E-2</v>
          </cell>
        </row>
        <row r="226">
          <cell r="A226" t="str">
            <v xml:space="preserve">mer-MODO: mer    </v>
          </cell>
          <cell r="B226" t="str">
            <v>mer</v>
          </cell>
          <cell r="C226" t="str">
            <v xml:space="preserve">MODO: mer    </v>
          </cell>
        </row>
        <row r="227">
          <cell r="A227" t="str">
            <v>mer-LINEA</v>
          </cell>
          <cell r="B227" t="str">
            <v>mer</v>
          </cell>
          <cell r="C227" t="str">
            <v>LINEA</v>
          </cell>
          <cell r="D227" t="str">
            <v>FLOTA</v>
          </cell>
        </row>
        <row r="228">
          <cell r="A228" t="str">
            <v>mer-80001</v>
          </cell>
          <cell r="B228" t="str">
            <v>mer</v>
          </cell>
          <cell r="C228">
            <v>80001</v>
          </cell>
          <cell r="D228">
            <v>3.64</v>
          </cell>
        </row>
        <row r="229">
          <cell r="A229" t="str">
            <v>mer-80002</v>
          </cell>
          <cell r="B229" t="str">
            <v>mer</v>
          </cell>
          <cell r="C229">
            <v>80002</v>
          </cell>
          <cell r="D229">
            <v>3.64</v>
          </cell>
        </row>
        <row r="230">
          <cell r="A230" t="str">
            <v xml:space="preserve">txc-MODO: txc    </v>
          </cell>
          <cell r="B230" t="str">
            <v>txc</v>
          </cell>
          <cell r="C230" t="str">
            <v xml:space="preserve">MODO: txc    </v>
          </cell>
        </row>
        <row r="231">
          <cell r="A231" t="str">
            <v>txc-LINEA</v>
          </cell>
          <cell r="B231" t="str">
            <v>txc</v>
          </cell>
          <cell r="C231" t="str">
            <v>LINEA</v>
          </cell>
          <cell r="D231" t="str">
            <v>FLOTA</v>
          </cell>
        </row>
        <row r="232">
          <cell r="A232" t="str">
            <v>txc-101</v>
          </cell>
          <cell r="B232" t="str">
            <v>txc</v>
          </cell>
          <cell r="C232">
            <v>101</v>
          </cell>
          <cell r="D232">
            <v>3</v>
          </cell>
        </row>
        <row r="233">
          <cell r="A233" t="str">
            <v>txc-102</v>
          </cell>
          <cell r="B233" t="str">
            <v>txc</v>
          </cell>
          <cell r="C233">
            <v>102</v>
          </cell>
          <cell r="D233">
            <v>0.3</v>
          </cell>
        </row>
        <row r="234">
          <cell r="A234" t="str">
            <v>txc-1011</v>
          </cell>
          <cell r="B234" t="str">
            <v>txc</v>
          </cell>
          <cell r="C234">
            <v>1011</v>
          </cell>
          <cell r="D234">
            <v>0.52</v>
          </cell>
        </row>
        <row r="235">
          <cell r="A235" t="str">
            <v>txc-1012</v>
          </cell>
          <cell r="B235" t="str">
            <v>txc</v>
          </cell>
          <cell r="C235">
            <v>1012</v>
          </cell>
          <cell r="D235">
            <v>0.11</v>
          </cell>
        </row>
        <row r="236">
          <cell r="A236" t="str">
            <v>txc-1001</v>
          </cell>
          <cell r="B236" t="str">
            <v>txc</v>
          </cell>
          <cell r="C236">
            <v>1001</v>
          </cell>
          <cell r="D236">
            <v>0.56999999999999995</v>
          </cell>
        </row>
        <row r="237">
          <cell r="A237" t="str">
            <v>txc-1002</v>
          </cell>
          <cell r="B237" t="str">
            <v>txc</v>
          </cell>
          <cell r="C237">
            <v>1002</v>
          </cell>
          <cell r="D237">
            <v>2.57</v>
          </cell>
        </row>
        <row r="238">
          <cell r="A238" t="str">
            <v>txc-1021</v>
          </cell>
          <cell r="B238" t="str">
            <v>txc</v>
          </cell>
          <cell r="C238">
            <v>1021</v>
          </cell>
          <cell r="D238">
            <v>0.36</v>
          </cell>
        </row>
        <row r="239">
          <cell r="A239" t="str">
            <v>txc-1022</v>
          </cell>
          <cell r="B239" t="str">
            <v>txc</v>
          </cell>
          <cell r="C239">
            <v>1022</v>
          </cell>
          <cell r="D239">
            <v>1.73</v>
          </cell>
        </row>
        <row r="240">
          <cell r="A240" t="str">
            <v>txc-10001</v>
          </cell>
          <cell r="B240" t="str">
            <v>txc</v>
          </cell>
          <cell r="C240">
            <v>10001</v>
          </cell>
          <cell r="D240">
            <v>4.79</v>
          </cell>
        </row>
        <row r="241">
          <cell r="A241" t="str">
            <v>txc-10002</v>
          </cell>
          <cell r="B241" t="str">
            <v>txc</v>
          </cell>
          <cell r="C241">
            <v>10002</v>
          </cell>
          <cell r="D241">
            <v>0.47</v>
          </cell>
        </row>
        <row r="242">
          <cell r="A242" t="str">
            <v>txc-10011</v>
          </cell>
          <cell r="B242" t="str">
            <v>txc</v>
          </cell>
          <cell r="C242">
            <v>10011</v>
          </cell>
          <cell r="D242">
            <v>0.38</v>
          </cell>
        </row>
        <row r="243">
          <cell r="A243" t="str">
            <v>txc-10012</v>
          </cell>
          <cell r="B243" t="str">
            <v>txc</v>
          </cell>
          <cell r="C243">
            <v>10012</v>
          </cell>
          <cell r="D243">
            <v>12.25</v>
          </cell>
        </row>
        <row r="244">
          <cell r="A244" t="str">
            <v>txc-10211</v>
          </cell>
          <cell r="B244" t="str">
            <v>txc</v>
          </cell>
          <cell r="C244">
            <v>10211</v>
          </cell>
          <cell r="D244">
            <v>2.44</v>
          </cell>
        </row>
        <row r="245">
          <cell r="A245" t="str">
            <v>txc-10212</v>
          </cell>
          <cell r="B245" t="str">
            <v>txc</v>
          </cell>
          <cell r="C245">
            <v>10212</v>
          </cell>
          <cell r="D245">
            <v>1.59</v>
          </cell>
        </row>
        <row r="246">
          <cell r="A246" t="str">
            <v>txc-10201</v>
          </cell>
          <cell r="B246" t="str">
            <v>txc</v>
          </cell>
          <cell r="C246">
            <v>10201</v>
          </cell>
          <cell r="D246">
            <v>1.24</v>
          </cell>
        </row>
        <row r="247">
          <cell r="A247" t="str">
            <v>txc-10202</v>
          </cell>
          <cell r="B247" t="str">
            <v>txc</v>
          </cell>
          <cell r="C247">
            <v>10202</v>
          </cell>
          <cell r="D247">
            <v>1.7</v>
          </cell>
        </row>
        <row r="248">
          <cell r="A248" t="str">
            <v>txc-10501</v>
          </cell>
          <cell r="B248" t="str">
            <v>txc</v>
          </cell>
          <cell r="C248">
            <v>10501</v>
          </cell>
          <cell r="D248">
            <v>0.33</v>
          </cell>
        </row>
        <row r="249">
          <cell r="A249" t="str">
            <v>txc-10502</v>
          </cell>
          <cell r="B249" t="str">
            <v>txc</v>
          </cell>
          <cell r="C249">
            <v>10502</v>
          </cell>
          <cell r="D249">
            <v>0.52</v>
          </cell>
        </row>
        <row r="250">
          <cell r="A250" t="str">
            <v>txc-10611</v>
          </cell>
          <cell r="B250" t="str">
            <v>txc</v>
          </cell>
          <cell r="C250">
            <v>10611</v>
          </cell>
          <cell r="D250">
            <v>0.19</v>
          </cell>
        </row>
        <row r="251">
          <cell r="A251" t="str">
            <v>txc-10612</v>
          </cell>
          <cell r="B251" t="str">
            <v>txc</v>
          </cell>
          <cell r="C251">
            <v>10612</v>
          </cell>
          <cell r="D251">
            <v>0.13</v>
          </cell>
        </row>
        <row r="252">
          <cell r="A252" t="str">
            <v>txc-10601</v>
          </cell>
          <cell r="B252" t="str">
            <v>txc</v>
          </cell>
          <cell r="C252">
            <v>10601</v>
          </cell>
          <cell r="D252">
            <v>12.98</v>
          </cell>
        </row>
        <row r="253">
          <cell r="A253" t="str">
            <v>txc-10602</v>
          </cell>
          <cell r="B253" t="str">
            <v>txc</v>
          </cell>
          <cell r="C253">
            <v>10602</v>
          </cell>
          <cell r="D253">
            <v>5.14</v>
          </cell>
        </row>
        <row r="254">
          <cell r="A254" t="str">
            <v>txc-10701</v>
          </cell>
          <cell r="B254" t="str">
            <v>txc</v>
          </cell>
          <cell r="C254">
            <v>10701</v>
          </cell>
          <cell r="D254">
            <v>1.29</v>
          </cell>
        </row>
        <row r="255">
          <cell r="A255" t="str">
            <v>txc-10702</v>
          </cell>
          <cell r="B255" t="str">
            <v>txc</v>
          </cell>
          <cell r="C255">
            <v>10702</v>
          </cell>
          <cell r="D255">
            <v>4.29</v>
          </cell>
        </row>
        <row r="256">
          <cell r="A256" t="str">
            <v>txc-11601</v>
          </cell>
          <cell r="B256" t="str">
            <v>txc</v>
          </cell>
          <cell r="C256">
            <v>11601</v>
          </cell>
          <cell r="D256">
            <v>0.28000000000000003</v>
          </cell>
        </row>
        <row r="257">
          <cell r="A257" t="str">
            <v>txc-11602</v>
          </cell>
          <cell r="B257" t="str">
            <v>txc</v>
          </cell>
          <cell r="C257">
            <v>11602</v>
          </cell>
          <cell r="D257">
            <v>0.46</v>
          </cell>
        </row>
        <row r="258">
          <cell r="A258" t="str">
            <v>txc-11801</v>
          </cell>
          <cell r="B258" t="str">
            <v>txc</v>
          </cell>
          <cell r="C258">
            <v>11801</v>
          </cell>
          <cell r="D258">
            <v>0.28999999999999998</v>
          </cell>
        </row>
        <row r="259">
          <cell r="A259" t="str">
            <v>txc-11802</v>
          </cell>
          <cell r="B259" t="str">
            <v>txc</v>
          </cell>
          <cell r="C259">
            <v>11802</v>
          </cell>
          <cell r="D259">
            <v>10.62</v>
          </cell>
        </row>
        <row r="260">
          <cell r="A260" t="str">
            <v>txc-11901</v>
          </cell>
          <cell r="B260" t="str">
            <v>txc</v>
          </cell>
          <cell r="C260">
            <v>11901</v>
          </cell>
          <cell r="D260">
            <v>0.44</v>
          </cell>
        </row>
        <row r="261">
          <cell r="A261" t="str">
            <v>txc-11902</v>
          </cell>
          <cell r="B261" t="str">
            <v>txc</v>
          </cell>
          <cell r="C261">
            <v>11902</v>
          </cell>
          <cell r="D261">
            <v>0.47</v>
          </cell>
        </row>
        <row r="262">
          <cell r="A262" t="str">
            <v>txc-1201</v>
          </cell>
          <cell r="B262" t="str">
            <v>txc</v>
          </cell>
          <cell r="C262">
            <v>1201</v>
          </cell>
          <cell r="D262">
            <v>0.2</v>
          </cell>
        </row>
        <row r="263">
          <cell r="A263" t="str">
            <v>txc-1202</v>
          </cell>
          <cell r="B263" t="str">
            <v>txc</v>
          </cell>
          <cell r="C263">
            <v>1202</v>
          </cell>
          <cell r="D263">
            <v>2.74</v>
          </cell>
        </row>
        <row r="264">
          <cell r="A264" t="str">
            <v>txc-12001</v>
          </cell>
          <cell r="B264" t="str">
            <v>txc</v>
          </cell>
          <cell r="C264">
            <v>12001</v>
          </cell>
          <cell r="D264">
            <v>5.57</v>
          </cell>
        </row>
        <row r="265">
          <cell r="A265" t="str">
            <v>txc-12002</v>
          </cell>
          <cell r="B265" t="str">
            <v>txc</v>
          </cell>
          <cell r="C265">
            <v>12002</v>
          </cell>
          <cell r="D265">
            <v>0.54</v>
          </cell>
        </row>
        <row r="266">
          <cell r="A266" t="str">
            <v>txc-12011</v>
          </cell>
          <cell r="B266" t="str">
            <v>txc</v>
          </cell>
          <cell r="C266">
            <v>12011</v>
          </cell>
          <cell r="D266">
            <v>1.28</v>
          </cell>
        </row>
        <row r="267">
          <cell r="A267" t="str">
            <v>txc-12012</v>
          </cell>
          <cell r="B267" t="str">
            <v>txc</v>
          </cell>
          <cell r="C267">
            <v>12012</v>
          </cell>
          <cell r="D267">
            <v>7.64</v>
          </cell>
        </row>
        <row r="268">
          <cell r="A268" t="str">
            <v>txc-12601</v>
          </cell>
          <cell r="B268" t="str">
            <v>txc</v>
          </cell>
          <cell r="C268">
            <v>12601</v>
          </cell>
          <cell r="D268">
            <v>7.66</v>
          </cell>
        </row>
        <row r="269">
          <cell r="A269" t="str">
            <v>txc-12602</v>
          </cell>
          <cell r="B269" t="str">
            <v>txc</v>
          </cell>
          <cell r="C269">
            <v>12602</v>
          </cell>
          <cell r="D269">
            <v>0.23</v>
          </cell>
        </row>
        <row r="270">
          <cell r="A270" t="str">
            <v>txc-12901</v>
          </cell>
          <cell r="B270" t="str">
            <v>txc</v>
          </cell>
          <cell r="C270">
            <v>12901</v>
          </cell>
          <cell r="D270">
            <v>2.0499999999999998</v>
          </cell>
        </row>
        <row r="271">
          <cell r="A271" t="str">
            <v>txc-12902</v>
          </cell>
          <cell r="B271" t="str">
            <v>txc</v>
          </cell>
          <cell r="C271">
            <v>12902</v>
          </cell>
          <cell r="D271">
            <v>2.48</v>
          </cell>
        </row>
        <row r="272">
          <cell r="A272" t="str">
            <v>txc-12911</v>
          </cell>
          <cell r="B272" t="str">
            <v>txc</v>
          </cell>
          <cell r="C272">
            <v>12911</v>
          </cell>
          <cell r="D272">
            <v>0.97</v>
          </cell>
        </row>
        <row r="273">
          <cell r="A273" t="str">
            <v>txc-12912</v>
          </cell>
          <cell r="B273" t="str">
            <v>txc</v>
          </cell>
          <cell r="C273">
            <v>12912</v>
          </cell>
          <cell r="D273">
            <v>15.45</v>
          </cell>
        </row>
        <row r="274">
          <cell r="A274" t="str">
            <v>txc-1211</v>
          </cell>
          <cell r="B274" t="str">
            <v>txc</v>
          </cell>
          <cell r="C274">
            <v>1211</v>
          </cell>
          <cell r="D274">
            <v>3.36</v>
          </cell>
        </row>
        <row r="275">
          <cell r="A275" t="str">
            <v>txc-1212</v>
          </cell>
          <cell r="B275" t="str">
            <v>txc</v>
          </cell>
          <cell r="C275">
            <v>1212</v>
          </cell>
          <cell r="D275">
            <v>4.79</v>
          </cell>
        </row>
        <row r="276">
          <cell r="A276" t="str">
            <v>txc-1301</v>
          </cell>
          <cell r="B276" t="str">
            <v>txc</v>
          </cell>
          <cell r="C276">
            <v>1301</v>
          </cell>
          <cell r="D276">
            <v>1.22</v>
          </cell>
        </row>
        <row r="277">
          <cell r="A277" t="str">
            <v>txc-1302</v>
          </cell>
          <cell r="B277" t="str">
            <v>txc</v>
          </cell>
          <cell r="C277">
            <v>1302</v>
          </cell>
          <cell r="D277">
            <v>1.1399999999999999</v>
          </cell>
        </row>
        <row r="278">
          <cell r="A278" t="str">
            <v>txc-13001</v>
          </cell>
          <cell r="B278" t="str">
            <v>txc</v>
          </cell>
          <cell r="C278">
            <v>13001</v>
          </cell>
          <cell r="D278">
            <v>0.14000000000000001</v>
          </cell>
        </row>
        <row r="279">
          <cell r="A279" t="str">
            <v>txc-13002</v>
          </cell>
          <cell r="B279" t="str">
            <v>txc</v>
          </cell>
          <cell r="C279">
            <v>13002</v>
          </cell>
          <cell r="D279">
            <v>0.52</v>
          </cell>
        </row>
        <row r="280">
          <cell r="A280" t="str">
            <v>txc-13011</v>
          </cell>
          <cell r="B280" t="str">
            <v>txc</v>
          </cell>
          <cell r="C280">
            <v>13011</v>
          </cell>
          <cell r="D280">
            <v>1.51</v>
          </cell>
        </row>
        <row r="281">
          <cell r="A281" t="str">
            <v>txc-13012</v>
          </cell>
          <cell r="B281" t="str">
            <v>txc</v>
          </cell>
          <cell r="C281">
            <v>13012</v>
          </cell>
          <cell r="D281">
            <v>0.57999999999999996</v>
          </cell>
        </row>
        <row r="282">
          <cell r="A282" t="str">
            <v>txc-13201</v>
          </cell>
          <cell r="B282" t="str">
            <v>txc</v>
          </cell>
          <cell r="C282">
            <v>13201</v>
          </cell>
          <cell r="D282">
            <v>0.96</v>
          </cell>
        </row>
        <row r="283">
          <cell r="A283" t="str">
            <v>txc-13202</v>
          </cell>
          <cell r="B283" t="str">
            <v>txc</v>
          </cell>
          <cell r="C283">
            <v>13202</v>
          </cell>
          <cell r="D283">
            <v>5.34</v>
          </cell>
        </row>
        <row r="284">
          <cell r="A284" t="str">
            <v>txc-13211</v>
          </cell>
          <cell r="B284" t="str">
            <v>txc</v>
          </cell>
          <cell r="C284">
            <v>13211</v>
          </cell>
          <cell r="D284">
            <v>0.21</v>
          </cell>
        </row>
        <row r="285">
          <cell r="A285" t="str">
            <v>txc-13212</v>
          </cell>
          <cell r="B285" t="str">
            <v>txc</v>
          </cell>
          <cell r="C285">
            <v>13212</v>
          </cell>
          <cell r="D285">
            <v>0.22</v>
          </cell>
        </row>
        <row r="286">
          <cell r="A286" t="str">
            <v>txc-13301</v>
          </cell>
          <cell r="B286" t="str">
            <v>txc</v>
          </cell>
          <cell r="C286">
            <v>13301</v>
          </cell>
          <cell r="D286">
            <v>3.9</v>
          </cell>
        </row>
        <row r="287">
          <cell r="A287" t="str">
            <v>txc-13302</v>
          </cell>
          <cell r="B287" t="str">
            <v>txc</v>
          </cell>
          <cell r="C287">
            <v>13302</v>
          </cell>
          <cell r="D287">
            <v>6.68</v>
          </cell>
        </row>
        <row r="288">
          <cell r="A288" t="str">
            <v>txc-13321</v>
          </cell>
          <cell r="B288" t="str">
            <v>txc</v>
          </cell>
          <cell r="C288">
            <v>13321</v>
          </cell>
          <cell r="D288">
            <v>0.46</v>
          </cell>
        </row>
        <row r="289">
          <cell r="A289" t="str">
            <v>txc-13322</v>
          </cell>
          <cell r="B289" t="str">
            <v>txc</v>
          </cell>
          <cell r="C289">
            <v>13322</v>
          </cell>
          <cell r="D289">
            <v>5.82</v>
          </cell>
        </row>
        <row r="290">
          <cell r="A290" t="str">
            <v>txc-13311</v>
          </cell>
          <cell r="B290" t="str">
            <v>txc</v>
          </cell>
          <cell r="C290">
            <v>13311</v>
          </cell>
          <cell r="D290">
            <v>1.81</v>
          </cell>
        </row>
        <row r="291">
          <cell r="A291" t="str">
            <v>txc-13312</v>
          </cell>
          <cell r="B291" t="str">
            <v>txc</v>
          </cell>
          <cell r="C291">
            <v>13312</v>
          </cell>
          <cell r="D291">
            <v>2.04</v>
          </cell>
        </row>
        <row r="292">
          <cell r="A292" t="str">
            <v>txc-13411</v>
          </cell>
          <cell r="B292" t="str">
            <v>txc</v>
          </cell>
          <cell r="C292">
            <v>13411</v>
          </cell>
          <cell r="D292">
            <v>0.82</v>
          </cell>
        </row>
        <row r="293">
          <cell r="A293" t="str">
            <v>txc-13412</v>
          </cell>
          <cell r="B293" t="str">
            <v>txc</v>
          </cell>
          <cell r="C293">
            <v>13412</v>
          </cell>
          <cell r="D293">
            <v>0.14000000000000001</v>
          </cell>
        </row>
        <row r="294">
          <cell r="A294" t="str">
            <v>txc-13401</v>
          </cell>
          <cell r="B294" t="str">
            <v>txc</v>
          </cell>
          <cell r="C294">
            <v>13401</v>
          </cell>
          <cell r="D294">
            <v>0.87</v>
          </cell>
        </row>
        <row r="295">
          <cell r="A295" t="str">
            <v>txc-13402</v>
          </cell>
          <cell r="B295" t="str">
            <v>txc</v>
          </cell>
          <cell r="C295">
            <v>13402</v>
          </cell>
          <cell r="D295">
            <v>1.61</v>
          </cell>
        </row>
        <row r="296">
          <cell r="A296" t="str">
            <v>txc-13501</v>
          </cell>
          <cell r="B296" t="str">
            <v>txc</v>
          </cell>
          <cell r="C296">
            <v>13501</v>
          </cell>
          <cell r="D296">
            <v>2.89</v>
          </cell>
        </row>
        <row r="297">
          <cell r="A297" t="str">
            <v>txc-13502</v>
          </cell>
          <cell r="B297" t="str">
            <v>txc</v>
          </cell>
          <cell r="C297">
            <v>13502</v>
          </cell>
          <cell r="D297">
            <v>0.73</v>
          </cell>
        </row>
        <row r="298">
          <cell r="A298" t="str">
            <v>txc-13511</v>
          </cell>
          <cell r="B298" t="str">
            <v>txc</v>
          </cell>
          <cell r="C298">
            <v>13511</v>
          </cell>
          <cell r="D298">
            <v>0.18</v>
          </cell>
        </row>
        <row r="299">
          <cell r="A299" t="str">
            <v>txc-13512</v>
          </cell>
          <cell r="B299" t="str">
            <v>txc</v>
          </cell>
          <cell r="C299">
            <v>13512</v>
          </cell>
          <cell r="D299">
            <v>2.2200000000000002</v>
          </cell>
        </row>
        <row r="300">
          <cell r="A300" t="str">
            <v>txc-13601</v>
          </cell>
          <cell r="B300" t="str">
            <v>txc</v>
          </cell>
          <cell r="C300">
            <v>13601</v>
          </cell>
          <cell r="D300">
            <v>0.83</v>
          </cell>
        </row>
        <row r="301">
          <cell r="A301" t="str">
            <v>txc-13602</v>
          </cell>
          <cell r="B301" t="str">
            <v>txc</v>
          </cell>
          <cell r="C301">
            <v>13602</v>
          </cell>
          <cell r="D301">
            <v>10.79</v>
          </cell>
        </row>
        <row r="302">
          <cell r="A302" t="str">
            <v>txc-1411</v>
          </cell>
          <cell r="B302" t="str">
            <v>txc</v>
          </cell>
          <cell r="C302">
            <v>1411</v>
          </cell>
          <cell r="D302">
            <v>0.33</v>
          </cell>
        </row>
        <row r="303">
          <cell r="A303" t="str">
            <v>txc-1412</v>
          </cell>
          <cell r="B303" t="str">
            <v>txc</v>
          </cell>
          <cell r="C303">
            <v>1412</v>
          </cell>
          <cell r="D303">
            <v>0.11</v>
          </cell>
        </row>
        <row r="304">
          <cell r="A304" t="str">
            <v>txc-1422</v>
          </cell>
          <cell r="B304" t="str">
            <v>txc</v>
          </cell>
          <cell r="C304">
            <v>1422</v>
          </cell>
          <cell r="D304">
            <v>2.87</v>
          </cell>
        </row>
        <row r="305">
          <cell r="A305" t="str">
            <v>txc-1431</v>
          </cell>
          <cell r="B305" t="str">
            <v>txc</v>
          </cell>
          <cell r="C305">
            <v>1431</v>
          </cell>
          <cell r="D305">
            <v>1.53</v>
          </cell>
        </row>
        <row r="306">
          <cell r="A306" t="str">
            <v>txc-1432</v>
          </cell>
          <cell r="B306" t="str">
            <v>txc</v>
          </cell>
          <cell r="C306">
            <v>1432</v>
          </cell>
          <cell r="D306">
            <v>6.12</v>
          </cell>
        </row>
        <row r="307">
          <cell r="A307" t="str">
            <v>txc-15201</v>
          </cell>
          <cell r="B307" t="str">
            <v>txc</v>
          </cell>
          <cell r="C307">
            <v>15201</v>
          </cell>
          <cell r="D307">
            <v>1.29</v>
          </cell>
        </row>
        <row r="308">
          <cell r="A308" t="str">
            <v>txc-15202</v>
          </cell>
          <cell r="B308" t="str">
            <v>txc</v>
          </cell>
          <cell r="C308">
            <v>15202</v>
          </cell>
          <cell r="D308">
            <v>12.79</v>
          </cell>
        </row>
        <row r="309">
          <cell r="A309" t="str">
            <v>txc-15211</v>
          </cell>
          <cell r="B309" t="str">
            <v>txc</v>
          </cell>
          <cell r="C309">
            <v>15211</v>
          </cell>
          <cell r="D309">
            <v>1.29</v>
          </cell>
        </row>
        <row r="310">
          <cell r="A310" t="str">
            <v>txc-15212</v>
          </cell>
          <cell r="B310" t="str">
            <v>txc</v>
          </cell>
          <cell r="C310">
            <v>15212</v>
          </cell>
          <cell r="D310">
            <v>0.96</v>
          </cell>
        </row>
        <row r="311">
          <cell r="A311" t="str">
            <v>txc-15301</v>
          </cell>
          <cell r="B311" t="str">
            <v>txc</v>
          </cell>
          <cell r="C311">
            <v>15301</v>
          </cell>
          <cell r="D311">
            <v>0.49</v>
          </cell>
        </row>
        <row r="312">
          <cell r="A312" t="str">
            <v>txc-15302</v>
          </cell>
          <cell r="B312" t="str">
            <v>txc</v>
          </cell>
          <cell r="C312">
            <v>15302</v>
          </cell>
          <cell r="D312">
            <v>17.63</v>
          </cell>
        </row>
        <row r="313">
          <cell r="A313" t="str">
            <v>txc-15311</v>
          </cell>
          <cell r="B313" t="str">
            <v>txc</v>
          </cell>
          <cell r="C313">
            <v>15311</v>
          </cell>
          <cell r="D313">
            <v>15.81</v>
          </cell>
        </row>
        <row r="314">
          <cell r="A314" t="str">
            <v>txc-15312</v>
          </cell>
          <cell r="B314" t="str">
            <v>txc</v>
          </cell>
          <cell r="C314">
            <v>15312</v>
          </cell>
          <cell r="D314">
            <v>0.38</v>
          </cell>
        </row>
        <row r="315">
          <cell r="A315" t="str">
            <v>txc-15501</v>
          </cell>
          <cell r="B315" t="str">
            <v>txc</v>
          </cell>
          <cell r="C315">
            <v>15501</v>
          </cell>
          <cell r="D315">
            <v>51.47</v>
          </cell>
        </row>
        <row r="316">
          <cell r="A316" t="str">
            <v>txc-15502</v>
          </cell>
          <cell r="B316" t="str">
            <v>txc</v>
          </cell>
          <cell r="C316">
            <v>15502</v>
          </cell>
          <cell r="D316">
            <v>14.01</v>
          </cell>
        </row>
        <row r="317">
          <cell r="A317" t="str">
            <v>txc-15511</v>
          </cell>
          <cell r="B317" t="str">
            <v>txc</v>
          </cell>
          <cell r="C317">
            <v>15511</v>
          </cell>
          <cell r="D317">
            <v>0.22</v>
          </cell>
        </row>
        <row r="318">
          <cell r="A318" t="str">
            <v>txc-15512</v>
          </cell>
          <cell r="B318" t="str">
            <v>txc</v>
          </cell>
          <cell r="C318">
            <v>15512</v>
          </cell>
          <cell r="D318">
            <v>0.23</v>
          </cell>
        </row>
        <row r="319">
          <cell r="A319" t="str">
            <v>txc-15701</v>
          </cell>
          <cell r="B319" t="str">
            <v>txc</v>
          </cell>
          <cell r="C319">
            <v>15701</v>
          </cell>
          <cell r="D319">
            <v>0.31</v>
          </cell>
        </row>
        <row r="320">
          <cell r="A320" t="str">
            <v>txc-15702</v>
          </cell>
          <cell r="B320" t="str">
            <v>txc</v>
          </cell>
          <cell r="C320">
            <v>15702</v>
          </cell>
          <cell r="D320">
            <v>4.4400000000000004</v>
          </cell>
        </row>
        <row r="321">
          <cell r="A321" t="str">
            <v>txc-16101</v>
          </cell>
          <cell r="B321" t="str">
            <v>txc</v>
          </cell>
          <cell r="C321">
            <v>16101</v>
          </cell>
          <cell r="D321">
            <v>0.33</v>
          </cell>
        </row>
        <row r="322">
          <cell r="A322" t="str">
            <v>txc-16102</v>
          </cell>
          <cell r="B322" t="str">
            <v>txc</v>
          </cell>
          <cell r="C322">
            <v>16102</v>
          </cell>
          <cell r="D322">
            <v>1.05</v>
          </cell>
        </row>
        <row r="323">
          <cell r="A323" t="str">
            <v>txc-16201</v>
          </cell>
          <cell r="B323" t="str">
            <v>txc</v>
          </cell>
          <cell r="C323">
            <v>16201</v>
          </cell>
          <cell r="D323">
            <v>0.3</v>
          </cell>
        </row>
        <row r="324">
          <cell r="A324" t="str">
            <v>txc-16202</v>
          </cell>
          <cell r="B324" t="str">
            <v>txc</v>
          </cell>
          <cell r="C324">
            <v>16202</v>
          </cell>
          <cell r="D324">
            <v>4.53</v>
          </cell>
        </row>
        <row r="325">
          <cell r="A325" t="str">
            <v>txc-16601</v>
          </cell>
          <cell r="B325" t="str">
            <v>txc</v>
          </cell>
          <cell r="C325">
            <v>16601</v>
          </cell>
          <cell r="D325">
            <v>7.65</v>
          </cell>
        </row>
        <row r="326">
          <cell r="A326" t="str">
            <v>txc-16602</v>
          </cell>
          <cell r="B326" t="str">
            <v>txc</v>
          </cell>
          <cell r="C326">
            <v>16602</v>
          </cell>
          <cell r="D326">
            <v>4.32</v>
          </cell>
        </row>
        <row r="327">
          <cell r="A327" t="str">
            <v>txc-16801</v>
          </cell>
          <cell r="B327" t="str">
            <v>txc</v>
          </cell>
          <cell r="C327">
            <v>16801</v>
          </cell>
          <cell r="D327">
            <v>0.73</v>
          </cell>
        </row>
        <row r="328">
          <cell r="A328" t="str">
            <v>txc-16802</v>
          </cell>
          <cell r="B328" t="str">
            <v>txc</v>
          </cell>
          <cell r="C328">
            <v>16802</v>
          </cell>
          <cell r="D328">
            <v>0.21</v>
          </cell>
        </row>
        <row r="329">
          <cell r="A329" t="str">
            <v>txc-16901</v>
          </cell>
          <cell r="B329" t="str">
            <v>txc</v>
          </cell>
          <cell r="C329">
            <v>16901</v>
          </cell>
          <cell r="D329">
            <v>1.07</v>
          </cell>
        </row>
        <row r="330">
          <cell r="A330" t="str">
            <v>txc-16902</v>
          </cell>
          <cell r="B330" t="str">
            <v>txc</v>
          </cell>
          <cell r="C330">
            <v>16902</v>
          </cell>
          <cell r="D330">
            <v>1.32</v>
          </cell>
        </row>
        <row r="331">
          <cell r="A331" t="str">
            <v>txc-1701</v>
          </cell>
          <cell r="B331" t="str">
            <v>txc</v>
          </cell>
          <cell r="C331">
            <v>1701</v>
          </cell>
          <cell r="D331">
            <v>0.1</v>
          </cell>
        </row>
        <row r="332">
          <cell r="A332" t="str">
            <v>txc-1702</v>
          </cell>
          <cell r="B332" t="str">
            <v>txc</v>
          </cell>
          <cell r="C332">
            <v>1702</v>
          </cell>
          <cell r="D332">
            <v>0.14000000000000001</v>
          </cell>
        </row>
        <row r="333">
          <cell r="A333" t="str">
            <v>txc-1711</v>
          </cell>
          <cell r="B333" t="str">
            <v>txc</v>
          </cell>
          <cell r="C333">
            <v>1711</v>
          </cell>
          <cell r="D333">
            <v>0.1</v>
          </cell>
        </row>
        <row r="334">
          <cell r="A334" t="str">
            <v>txc-1712</v>
          </cell>
          <cell r="B334" t="str">
            <v>txc</v>
          </cell>
          <cell r="C334">
            <v>1712</v>
          </cell>
          <cell r="D334">
            <v>3.18</v>
          </cell>
        </row>
        <row r="335">
          <cell r="A335" t="str">
            <v>txc-1801</v>
          </cell>
          <cell r="B335" t="str">
            <v>txc</v>
          </cell>
          <cell r="C335">
            <v>1801</v>
          </cell>
          <cell r="D335">
            <v>2.5499999999999998</v>
          </cell>
        </row>
        <row r="336">
          <cell r="A336" t="str">
            <v>txc-1802</v>
          </cell>
          <cell r="B336" t="str">
            <v>txc</v>
          </cell>
          <cell r="C336">
            <v>1802</v>
          </cell>
          <cell r="D336">
            <v>2.9</v>
          </cell>
        </row>
        <row r="337">
          <cell r="A337" t="str">
            <v>txc-18511</v>
          </cell>
          <cell r="B337" t="str">
            <v>txc</v>
          </cell>
          <cell r="C337">
            <v>18511</v>
          </cell>
          <cell r="D337">
            <v>1.88</v>
          </cell>
        </row>
        <row r="338">
          <cell r="A338" t="str">
            <v>txc-18512</v>
          </cell>
          <cell r="B338" t="str">
            <v>txc</v>
          </cell>
          <cell r="C338">
            <v>18512</v>
          </cell>
          <cell r="D338">
            <v>2.52</v>
          </cell>
        </row>
        <row r="339">
          <cell r="A339" t="str">
            <v>txc-18501</v>
          </cell>
          <cell r="B339" t="str">
            <v>txc</v>
          </cell>
          <cell r="C339">
            <v>18501</v>
          </cell>
          <cell r="D339">
            <v>0.28000000000000003</v>
          </cell>
        </row>
        <row r="340">
          <cell r="A340" t="str">
            <v>txc-18502</v>
          </cell>
          <cell r="B340" t="str">
            <v>txc</v>
          </cell>
          <cell r="C340">
            <v>18502</v>
          </cell>
          <cell r="D340">
            <v>0.25</v>
          </cell>
        </row>
        <row r="341">
          <cell r="A341" t="str">
            <v>txc-18801</v>
          </cell>
          <cell r="B341" t="str">
            <v>txc</v>
          </cell>
          <cell r="C341">
            <v>18801</v>
          </cell>
          <cell r="D341">
            <v>0.95</v>
          </cell>
        </row>
        <row r="342">
          <cell r="A342" t="str">
            <v>txc-18802</v>
          </cell>
          <cell r="B342" t="str">
            <v>txc</v>
          </cell>
          <cell r="C342">
            <v>18802</v>
          </cell>
          <cell r="D342">
            <v>7.44</v>
          </cell>
        </row>
        <row r="343">
          <cell r="A343" t="str">
            <v>txc-1901</v>
          </cell>
          <cell r="B343" t="str">
            <v>txc</v>
          </cell>
          <cell r="C343">
            <v>1901</v>
          </cell>
          <cell r="D343">
            <v>1.19</v>
          </cell>
        </row>
        <row r="344">
          <cell r="A344" t="str">
            <v>txc-1902</v>
          </cell>
          <cell r="B344" t="str">
            <v>txc</v>
          </cell>
          <cell r="C344">
            <v>1902</v>
          </cell>
          <cell r="D344">
            <v>0.95</v>
          </cell>
        </row>
        <row r="345">
          <cell r="A345" t="str">
            <v>txc-201</v>
          </cell>
          <cell r="B345" t="str">
            <v>txc</v>
          </cell>
          <cell r="C345">
            <v>201</v>
          </cell>
          <cell r="D345">
            <v>1.23</v>
          </cell>
        </row>
        <row r="346">
          <cell r="A346" t="str">
            <v>txc-202</v>
          </cell>
          <cell r="B346" t="str">
            <v>txc</v>
          </cell>
          <cell r="C346">
            <v>202</v>
          </cell>
          <cell r="D346">
            <v>14.33</v>
          </cell>
        </row>
        <row r="347">
          <cell r="A347" t="str">
            <v>txc-2001</v>
          </cell>
          <cell r="B347" t="str">
            <v>txc</v>
          </cell>
          <cell r="C347">
            <v>2001</v>
          </cell>
          <cell r="D347">
            <v>0.39</v>
          </cell>
        </row>
        <row r="348">
          <cell r="A348" t="str">
            <v>txc-2002</v>
          </cell>
          <cell r="B348" t="str">
            <v>txc</v>
          </cell>
          <cell r="C348">
            <v>2002</v>
          </cell>
          <cell r="D348">
            <v>5.24</v>
          </cell>
        </row>
        <row r="349">
          <cell r="A349" t="str">
            <v>txc-20011</v>
          </cell>
          <cell r="B349" t="str">
            <v>txc</v>
          </cell>
          <cell r="C349">
            <v>20011</v>
          </cell>
          <cell r="D349">
            <v>22.08</v>
          </cell>
        </row>
        <row r="350">
          <cell r="A350" t="str">
            <v>txc-20012</v>
          </cell>
          <cell r="B350" t="str">
            <v>txc</v>
          </cell>
          <cell r="C350">
            <v>20012</v>
          </cell>
          <cell r="D350">
            <v>0.54</v>
          </cell>
        </row>
        <row r="351">
          <cell r="A351" t="str">
            <v>txc-20001</v>
          </cell>
          <cell r="B351" t="str">
            <v>txc</v>
          </cell>
          <cell r="C351">
            <v>20001</v>
          </cell>
          <cell r="D351">
            <v>0.49</v>
          </cell>
        </row>
        <row r="352">
          <cell r="A352" t="str">
            <v>txc-20002</v>
          </cell>
          <cell r="B352" t="str">
            <v>txc</v>
          </cell>
          <cell r="C352">
            <v>20002</v>
          </cell>
          <cell r="D352">
            <v>4.57</v>
          </cell>
        </row>
        <row r="353">
          <cell r="A353" t="str">
            <v>txc-22001</v>
          </cell>
          <cell r="B353" t="str">
            <v>txc</v>
          </cell>
          <cell r="C353">
            <v>22001</v>
          </cell>
          <cell r="D353">
            <v>0.54</v>
          </cell>
        </row>
        <row r="354">
          <cell r="A354" t="str">
            <v>txc-22002</v>
          </cell>
          <cell r="B354" t="str">
            <v>txc</v>
          </cell>
          <cell r="C354">
            <v>22002</v>
          </cell>
          <cell r="D354">
            <v>20.72</v>
          </cell>
        </row>
        <row r="355">
          <cell r="A355" t="str">
            <v>txc-22501</v>
          </cell>
          <cell r="B355" t="str">
            <v>txc</v>
          </cell>
          <cell r="C355">
            <v>22501</v>
          </cell>
          <cell r="D355">
            <v>1.52</v>
          </cell>
        </row>
        <row r="356">
          <cell r="A356" t="str">
            <v>txc-22502</v>
          </cell>
          <cell r="B356" t="str">
            <v>txc</v>
          </cell>
          <cell r="C356">
            <v>22502</v>
          </cell>
          <cell r="D356">
            <v>0.81</v>
          </cell>
        </row>
        <row r="357">
          <cell r="A357" t="str">
            <v>txc-2301</v>
          </cell>
          <cell r="B357" t="str">
            <v>txc</v>
          </cell>
          <cell r="C357">
            <v>2301</v>
          </cell>
          <cell r="D357">
            <v>1.97</v>
          </cell>
        </row>
        <row r="358">
          <cell r="A358" t="str">
            <v>txc-2302</v>
          </cell>
          <cell r="B358" t="str">
            <v>txc</v>
          </cell>
          <cell r="C358">
            <v>2302</v>
          </cell>
          <cell r="D358">
            <v>0.33</v>
          </cell>
        </row>
        <row r="359">
          <cell r="A359" t="str">
            <v>txc-2311</v>
          </cell>
          <cell r="B359" t="str">
            <v>txc</v>
          </cell>
          <cell r="C359">
            <v>2311</v>
          </cell>
          <cell r="D359">
            <v>4.5999999999999996</v>
          </cell>
        </row>
        <row r="360">
          <cell r="A360" t="str">
            <v>txc-2312</v>
          </cell>
          <cell r="B360" t="str">
            <v>txc</v>
          </cell>
          <cell r="C360">
            <v>2312</v>
          </cell>
          <cell r="D360">
            <v>9.6999999999999993</v>
          </cell>
        </row>
        <row r="361">
          <cell r="A361" t="str">
            <v>txc-2411</v>
          </cell>
          <cell r="B361" t="str">
            <v>txc</v>
          </cell>
          <cell r="C361">
            <v>2411</v>
          </cell>
          <cell r="D361">
            <v>0.74</v>
          </cell>
        </row>
        <row r="362">
          <cell r="A362" t="str">
            <v>txc-2412</v>
          </cell>
          <cell r="B362" t="str">
            <v>txc</v>
          </cell>
          <cell r="C362">
            <v>2412</v>
          </cell>
          <cell r="D362">
            <v>0.44</v>
          </cell>
        </row>
        <row r="363">
          <cell r="A363" t="str">
            <v>txc-2431</v>
          </cell>
          <cell r="B363" t="str">
            <v>txc</v>
          </cell>
          <cell r="C363">
            <v>2431</v>
          </cell>
          <cell r="D363">
            <v>0.87</v>
          </cell>
        </row>
        <row r="364">
          <cell r="A364" t="str">
            <v>txc-2432</v>
          </cell>
          <cell r="B364" t="str">
            <v>txc</v>
          </cell>
          <cell r="C364">
            <v>2432</v>
          </cell>
          <cell r="D364">
            <v>3.18</v>
          </cell>
        </row>
        <row r="365">
          <cell r="A365" t="str">
            <v>txc-2421</v>
          </cell>
          <cell r="B365" t="str">
            <v>txc</v>
          </cell>
          <cell r="C365">
            <v>2421</v>
          </cell>
          <cell r="D365">
            <v>0.87</v>
          </cell>
        </row>
        <row r="366">
          <cell r="A366" t="str">
            <v>txc-2422</v>
          </cell>
          <cell r="B366" t="str">
            <v>txc</v>
          </cell>
          <cell r="C366">
            <v>2422</v>
          </cell>
          <cell r="D366">
            <v>1.1000000000000001</v>
          </cell>
        </row>
        <row r="367">
          <cell r="A367" t="str">
            <v>txc-2401</v>
          </cell>
          <cell r="B367" t="str">
            <v>txc</v>
          </cell>
          <cell r="C367">
            <v>2401</v>
          </cell>
          <cell r="D367">
            <v>0.84</v>
          </cell>
        </row>
        <row r="368">
          <cell r="A368" t="str">
            <v>txc-2402</v>
          </cell>
          <cell r="B368" t="str">
            <v>txc</v>
          </cell>
          <cell r="C368">
            <v>2402</v>
          </cell>
          <cell r="D368">
            <v>11.85</v>
          </cell>
        </row>
        <row r="369">
          <cell r="A369" t="str">
            <v>txc-25011</v>
          </cell>
          <cell r="B369" t="str">
            <v>txc</v>
          </cell>
          <cell r="C369">
            <v>25011</v>
          </cell>
          <cell r="D369">
            <v>0.74</v>
          </cell>
        </row>
        <row r="370">
          <cell r="A370" t="str">
            <v>txc-25012</v>
          </cell>
          <cell r="B370" t="str">
            <v>txc</v>
          </cell>
          <cell r="C370">
            <v>25012</v>
          </cell>
          <cell r="D370">
            <v>1.23</v>
          </cell>
        </row>
        <row r="371">
          <cell r="A371" t="str">
            <v>txc-25001</v>
          </cell>
          <cell r="B371" t="str">
            <v>txc</v>
          </cell>
          <cell r="C371">
            <v>25001</v>
          </cell>
          <cell r="D371">
            <v>2.31</v>
          </cell>
        </row>
        <row r="372">
          <cell r="A372" t="str">
            <v>txc-25002</v>
          </cell>
          <cell r="B372" t="str">
            <v>txc</v>
          </cell>
          <cell r="C372">
            <v>25002</v>
          </cell>
          <cell r="D372">
            <v>0.32</v>
          </cell>
        </row>
        <row r="373">
          <cell r="A373" t="str">
            <v>txc-2611</v>
          </cell>
          <cell r="B373" t="str">
            <v>txc</v>
          </cell>
          <cell r="C373">
            <v>2611</v>
          </cell>
          <cell r="D373">
            <v>14.72</v>
          </cell>
        </row>
        <row r="374">
          <cell r="A374" t="str">
            <v>txc-2612</v>
          </cell>
          <cell r="B374" t="str">
            <v>txc</v>
          </cell>
          <cell r="C374">
            <v>2612</v>
          </cell>
          <cell r="D374">
            <v>15.05</v>
          </cell>
        </row>
        <row r="375">
          <cell r="A375" t="str">
            <v>txc-2701</v>
          </cell>
          <cell r="B375" t="str">
            <v>txc</v>
          </cell>
          <cell r="C375">
            <v>2701</v>
          </cell>
          <cell r="D375">
            <v>1.31</v>
          </cell>
        </row>
        <row r="376">
          <cell r="A376" t="str">
            <v>txc-2702</v>
          </cell>
          <cell r="B376" t="str">
            <v>txc</v>
          </cell>
          <cell r="C376">
            <v>2702</v>
          </cell>
          <cell r="D376">
            <v>0.23</v>
          </cell>
        </row>
        <row r="377">
          <cell r="A377" t="str">
            <v>txc-2711</v>
          </cell>
          <cell r="B377" t="str">
            <v>txc</v>
          </cell>
          <cell r="C377">
            <v>2711</v>
          </cell>
          <cell r="D377">
            <v>1.38</v>
          </cell>
        </row>
        <row r="378">
          <cell r="A378" t="str">
            <v>txc-2712</v>
          </cell>
          <cell r="B378" t="str">
            <v>txc</v>
          </cell>
          <cell r="C378">
            <v>2712</v>
          </cell>
          <cell r="D378">
            <v>2.61</v>
          </cell>
        </row>
        <row r="379">
          <cell r="A379" t="str">
            <v>txc-2901</v>
          </cell>
          <cell r="B379" t="str">
            <v>txc</v>
          </cell>
          <cell r="C379">
            <v>2901</v>
          </cell>
          <cell r="D379">
            <v>5.96</v>
          </cell>
        </row>
        <row r="380">
          <cell r="A380" t="str">
            <v>txc-2902</v>
          </cell>
          <cell r="B380" t="str">
            <v>txc</v>
          </cell>
          <cell r="C380">
            <v>2902</v>
          </cell>
          <cell r="D380">
            <v>1.1200000000000001</v>
          </cell>
        </row>
        <row r="381">
          <cell r="A381" t="str">
            <v>txc-2911</v>
          </cell>
          <cell r="B381" t="str">
            <v>txc</v>
          </cell>
          <cell r="C381">
            <v>2911</v>
          </cell>
          <cell r="D381">
            <v>1.41</v>
          </cell>
        </row>
        <row r="382">
          <cell r="A382" t="str">
            <v>txc-2912</v>
          </cell>
          <cell r="B382" t="str">
            <v>txc</v>
          </cell>
          <cell r="C382">
            <v>2912</v>
          </cell>
          <cell r="D382">
            <v>0.21</v>
          </cell>
        </row>
        <row r="383">
          <cell r="A383" t="str">
            <v>txc-301</v>
          </cell>
          <cell r="B383" t="str">
            <v>txc</v>
          </cell>
          <cell r="C383">
            <v>301</v>
          </cell>
          <cell r="D383">
            <v>7.5</v>
          </cell>
        </row>
        <row r="384">
          <cell r="A384" t="str">
            <v>txc-302</v>
          </cell>
          <cell r="B384" t="str">
            <v>txc</v>
          </cell>
          <cell r="C384">
            <v>302</v>
          </cell>
          <cell r="D384">
            <v>3.22</v>
          </cell>
        </row>
        <row r="385">
          <cell r="A385" t="str">
            <v>txc-311</v>
          </cell>
          <cell r="B385" t="str">
            <v>txc</v>
          </cell>
          <cell r="C385">
            <v>311</v>
          </cell>
          <cell r="D385">
            <v>10.029999999999999</v>
          </cell>
        </row>
        <row r="386">
          <cell r="A386" t="str">
            <v>txc-3131</v>
          </cell>
          <cell r="B386" t="str">
            <v>txc</v>
          </cell>
          <cell r="C386">
            <v>3131</v>
          </cell>
          <cell r="D386">
            <v>0.52</v>
          </cell>
        </row>
        <row r="387">
          <cell r="A387" t="str">
            <v>txc-3132</v>
          </cell>
          <cell r="B387" t="str">
            <v>txc</v>
          </cell>
          <cell r="C387">
            <v>3132</v>
          </cell>
          <cell r="D387">
            <v>13.29</v>
          </cell>
        </row>
        <row r="388">
          <cell r="A388" t="str">
            <v>txc-3101</v>
          </cell>
          <cell r="B388" t="str">
            <v>txc</v>
          </cell>
          <cell r="C388">
            <v>3101</v>
          </cell>
          <cell r="D388">
            <v>3.08</v>
          </cell>
        </row>
        <row r="389">
          <cell r="A389" t="str">
            <v>txc-3102</v>
          </cell>
          <cell r="B389" t="str">
            <v>txc</v>
          </cell>
          <cell r="C389">
            <v>3102</v>
          </cell>
          <cell r="D389">
            <v>0.42</v>
          </cell>
        </row>
        <row r="390">
          <cell r="A390" t="str">
            <v>txc-3111</v>
          </cell>
          <cell r="B390" t="str">
            <v>txc</v>
          </cell>
          <cell r="C390">
            <v>3111</v>
          </cell>
          <cell r="D390">
            <v>3.18</v>
          </cell>
        </row>
        <row r="391">
          <cell r="A391" t="str">
            <v>txc-3112</v>
          </cell>
          <cell r="B391" t="str">
            <v>txc</v>
          </cell>
          <cell r="C391">
            <v>3112</v>
          </cell>
          <cell r="D391">
            <v>0.42</v>
          </cell>
        </row>
        <row r="392">
          <cell r="A392" t="str">
            <v>txc-3211</v>
          </cell>
          <cell r="B392" t="str">
            <v>txc</v>
          </cell>
          <cell r="C392">
            <v>3211</v>
          </cell>
          <cell r="D392">
            <v>0.51</v>
          </cell>
        </row>
        <row r="393">
          <cell r="A393" t="str">
            <v>txc-3212</v>
          </cell>
          <cell r="B393" t="str">
            <v>txc</v>
          </cell>
          <cell r="C393">
            <v>3212</v>
          </cell>
          <cell r="D393">
            <v>3.57</v>
          </cell>
        </row>
        <row r="394">
          <cell r="A394" t="str">
            <v>txc-3201</v>
          </cell>
          <cell r="B394" t="str">
            <v>txc</v>
          </cell>
          <cell r="C394">
            <v>3201</v>
          </cell>
          <cell r="D394">
            <v>0.38</v>
          </cell>
        </row>
        <row r="395">
          <cell r="A395" t="str">
            <v>txc-3202</v>
          </cell>
          <cell r="B395" t="str">
            <v>txc</v>
          </cell>
          <cell r="C395">
            <v>3202</v>
          </cell>
          <cell r="D395">
            <v>0.35</v>
          </cell>
        </row>
        <row r="396">
          <cell r="A396" t="str">
            <v>txc-3301</v>
          </cell>
          <cell r="B396" t="str">
            <v>txc</v>
          </cell>
          <cell r="C396">
            <v>3301</v>
          </cell>
          <cell r="D396">
            <v>0.41</v>
          </cell>
        </row>
        <row r="397">
          <cell r="A397" t="str">
            <v>txc-3302</v>
          </cell>
          <cell r="B397" t="str">
            <v>txc</v>
          </cell>
          <cell r="C397">
            <v>3302</v>
          </cell>
          <cell r="D397">
            <v>13.62</v>
          </cell>
        </row>
        <row r="398">
          <cell r="A398" t="str">
            <v>txc-3311</v>
          </cell>
          <cell r="B398" t="str">
            <v>txc</v>
          </cell>
          <cell r="C398">
            <v>3311</v>
          </cell>
          <cell r="D398">
            <v>4.5199999999999996</v>
          </cell>
        </row>
        <row r="399">
          <cell r="A399" t="str">
            <v>txc-3312</v>
          </cell>
          <cell r="B399" t="str">
            <v>txc</v>
          </cell>
          <cell r="C399">
            <v>3312</v>
          </cell>
          <cell r="D399">
            <v>0.35</v>
          </cell>
        </row>
        <row r="400">
          <cell r="A400" t="str">
            <v>txc-33301</v>
          </cell>
          <cell r="B400" t="str">
            <v>txc</v>
          </cell>
          <cell r="C400">
            <v>33301</v>
          </cell>
          <cell r="D400">
            <v>0.26</v>
          </cell>
        </row>
        <row r="401">
          <cell r="A401" t="str">
            <v>txc-33302</v>
          </cell>
          <cell r="B401" t="str">
            <v>txc</v>
          </cell>
          <cell r="C401">
            <v>33302</v>
          </cell>
          <cell r="D401">
            <v>6.46</v>
          </cell>
        </row>
        <row r="402">
          <cell r="A402" t="str">
            <v>txc-3401</v>
          </cell>
          <cell r="B402" t="str">
            <v>txc</v>
          </cell>
          <cell r="C402">
            <v>3401</v>
          </cell>
          <cell r="D402">
            <v>1.17</v>
          </cell>
        </row>
        <row r="403">
          <cell r="A403" t="str">
            <v>txc-3402</v>
          </cell>
          <cell r="B403" t="str">
            <v>txc</v>
          </cell>
          <cell r="C403">
            <v>3402</v>
          </cell>
          <cell r="D403">
            <v>0.48</v>
          </cell>
        </row>
        <row r="404">
          <cell r="A404" t="str">
            <v>txc-3501</v>
          </cell>
          <cell r="B404" t="str">
            <v>txc</v>
          </cell>
          <cell r="C404">
            <v>3501</v>
          </cell>
          <cell r="D404">
            <v>0.59</v>
          </cell>
        </row>
        <row r="405">
          <cell r="A405" t="str">
            <v>txc-3502</v>
          </cell>
          <cell r="B405" t="str">
            <v>txc</v>
          </cell>
          <cell r="C405">
            <v>3502</v>
          </cell>
          <cell r="D405">
            <v>0.66</v>
          </cell>
        </row>
        <row r="406">
          <cell r="A406" t="str">
            <v>txc-3511</v>
          </cell>
          <cell r="B406" t="str">
            <v>txc</v>
          </cell>
          <cell r="C406">
            <v>3511</v>
          </cell>
          <cell r="D406">
            <v>2.21</v>
          </cell>
        </row>
        <row r="407">
          <cell r="A407" t="str">
            <v>txc-3512</v>
          </cell>
          <cell r="B407" t="str">
            <v>txc</v>
          </cell>
          <cell r="C407">
            <v>3512</v>
          </cell>
          <cell r="D407">
            <v>0.81</v>
          </cell>
        </row>
        <row r="408">
          <cell r="A408" t="str">
            <v>txc-3601</v>
          </cell>
          <cell r="B408" t="str">
            <v>txc</v>
          </cell>
          <cell r="C408">
            <v>3601</v>
          </cell>
          <cell r="D408">
            <v>0.32</v>
          </cell>
        </row>
        <row r="409">
          <cell r="A409" t="str">
            <v>txc-3602</v>
          </cell>
          <cell r="B409" t="str">
            <v>txc</v>
          </cell>
          <cell r="C409">
            <v>3602</v>
          </cell>
          <cell r="D409">
            <v>9.42</v>
          </cell>
        </row>
        <row r="410">
          <cell r="A410" t="str">
            <v>txc-3801</v>
          </cell>
          <cell r="B410" t="str">
            <v>txc</v>
          </cell>
          <cell r="C410">
            <v>3801</v>
          </cell>
          <cell r="D410">
            <v>1.58</v>
          </cell>
        </row>
        <row r="411">
          <cell r="A411" t="str">
            <v>txc-3802</v>
          </cell>
          <cell r="B411" t="str">
            <v>txc</v>
          </cell>
          <cell r="C411">
            <v>3802</v>
          </cell>
          <cell r="D411">
            <v>1.1399999999999999</v>
          </cell>
        </row>
        <row r="412">
          <cell r="A412" t="str">
            <v>txc-3901</v>
          </cell>
          <cell r="B412" t="str">
            <v>txc</v>
          </cell>
          <cell r="C412">
            <v>3901</v>
          </cell>
          <cell r="D412">
            <v>2.2000000000000002</v>
          </cell>
        </row>
        <row r="413">
          <cell r="A413" t="str">
            <v>txc-3902</v>
          </cell>
          <cell r="B413" t="str">
            <v>txc</v>
          </cell>
          <cell r="C413">
            <v>3902</v>
          </cell>
          <cell r="D413">
            <v>1.56</v>
          </cell>
        </row>
        <row r="414">
          <cell r="A414" t="str">
            <v>txc-3911</v>
          </cell>
          <cell r="B414" t="str">
            <v>txc</v>
          </cell>
          <cell r="C414">
            <v>3911</v>
          </cell>
          <cell r="D414">
            <v>1.92</v>
          </cell>
        </row>
        <row r="415">
          <cell r="A415" t="str">
            <v>txc-3912</v>
          </cell>
          <cell r="B415" t="str">
            <v>txc</v>
          </cell>
          <cell r="C415">
            <v>3912</v>
          </cell>
          <cell r="D415">
            <v>0.19</v>
          </cell>
        </row>
        <row r="416">
          <cell r="A416" t="str">
            <v>txc-3921</v>
          </cell>
          <cell r="B416" t="str">
            <v>txc</v>
          </cell>
          <cell r="C416">
            <v>3921</v>
          </cell>
          <cell r="D416">
            <v>0.19</v>
          </cell>
        </row>
        <row r="417">
          <cell r="A417" t="str">
            <v>txc-3922</v>
          </cell>
          <cell r="B417" t="str">
            <v>txc</v>
          </cell>
          <cell r="C417">
            <v>3922</v>
          </cell>
          <cell r="D417">
            <v>0.21</v>
          </cell>
        </row>
        <row r="418">
          <cell r="A418" t="str">
            <v>txc-3931</v>
          </cell>
          <cell r="B418" t="str">
            <v>txc</v>
          </cell>
          <cell r="C418">
            <v>3931</v>
          </cell>
          <cell r="D418">
            <v>1.21</v>
          </cell>
        </row>
        <row r="419">
          <cell r="A419" t="str">
            <v>txc-3932</v>
          </cell>
          <cell r="B419" t="str">
            <v>txc</v>
          </cell>
          <cell r="C419">
            <v>3932</v>
          </cell>
          <cell r="D419">
            <v>1.68</v>
          </cell>
        </row>
        <row r="420">
          <cell r="A420" t="str">
            <v>txc-321</v>
          </cell>
          <cell r="B420" t="str">
            <v>txc</v>
          </cell>
          <cell r="C420">
            <v>321</v>
          </cell>
          <cell r="D420">
            <v>0.28000000000000003</v>
          </cell>
        </row>
        <row r="421">
          <cell r="A421" t="str">
            <v>txc-322</v>
          </cell>
          <cell r="B421" t="str">
            <v>txc</v>
          </cell>
          <cell r="C421">
            <v>322</v>
          </cell>
          <cell r="D421">
            <v>5.38</v>
          </cell>
        </row>
        <row r="422">
          <cell r="A422" t="str">
            <v>txc-401</v>
          </cell>
          <cell r="B422" t="str">
            <v>txc</v>
          </cell>
          <cell r="C422">
            <v>401</v>
          </cell>
          <cell r="D422">
            <v>10.39</v>
          </cell>
        </row>
        <row r="423">
          <cell r="A423" t="str">
            <v>txc-402</v>
          </cell>
          <cell r="B423" t="str">
            <v>txc</v>
          </cell>
          <cell r="C423">
            <v>402</v>
          </cell>
          <cell r="D423">
            <v>5.86</v>
          </cell>
        </row>
        <row r="424">
          <cell r="A424" t="str">
            <v>txc-4001</v>
          </cell>
          <cell r="B424" t="str">
            <v>txc</v>
          </cell>
          <cell r="C424">
            <v>4001</v>
          </cell>
          <cell r="D424">
            <v>0.12</v>
          </cell>
        </row>
        <row r="425">
          <cell r="A425" t="str">
            <v>txc-4002</v>
          </cell>
          <cell r="B425" t="str">
            <v>txc</v>
          </cell>
          <cell r="C425">
            <v>4002</v>
          </cell>
          <cell r="D425">
            <v>0.38</v>
          </cell>
        </row>
        <row r="426">
          <cell r="A426" t="str">
            <v>txc-4011</v>
          </cell>
          <cell r="B426" t="str">
            <v>txc</v>
          </cell>
          <cell r="C426">
            <v>4011</v>
          </cell>
          <cell r="D426">
            <v>0.12</v>
          </cell>
        </row>
        <row r="427">
          <cell r="A427" t="str">
            <v>txc-4012</v>
          </cell>
          <cell r="B427" t="str">
            <v>txc</v>
          </cell>
          <cell r="C427">
            <v>4012</v>
          </cell>
          <cell r="D427">
            <v>0.35</v>
          </cell>
        </row>
        <row r="428">
          <cell r="A428" t="str">
            <v>txc-4101</v>
          </cell>
          <cell r="B428" t="str">
            <v>txc</v>
          </cell>
          <cell r="C428">
            <v>4101</v>
          </cell>
          <cell r="D428">
            <v>0.79</v>
          </cell>
        </row>
        <row r="429">
          <cell r="A429" t="str">
            <v>txc-4102</v>
          </cell>
          <cell r="B429" t="str">
            <v>txc</v>
          </cell>
          <cell r="C429">
            <v>4102</v>
          </cell>
          <cell r="D429">
            <v>0.74</v>
          </cell>
        </row>
        <row r="430">
          <cell r="A430" t="str">
            <v>txc-4201</v>
          </cell>
          <cell r="B430" t="str">
            <v>txc</v>
          </cell>
          <cell r="C430">
            <v>4201</v>
          </cell>
          <cell r="D430">
            <v>5.36</v>
          </cell>
        </row>
        <row r="431">
          <cell r="A431" t="str">
            <v>txc-4202</v>
          </cell>
          <cell r="B431" t="str">
            <v>txc</v>
          </cell>
          <cell r="C431">
            <v>4202</v>
          </cell>
          <cell r="D431">
            <v>0.45</v>
          </cell>
        </row>
        <row r="432">
          <cell r="A432" t="str">
            <v>txc-4301</v>
          </cell>
          <cell r="B432" t="str">
            <v>txc</v>
          </cell>
          <cell r="C432">
            <v>4301</v>
          </cell>
          <cell r="D432">
            <v>27.08</v>
          </cell>
        </row>
        <row r="433">
          <cell r="A433" t="str">
            <v>txc-4302</v>
          </cell>
          <cell r="B433" t="str">
            <v>txc</v>
          </cell>
          <cell r="C433">
            <v>4302</v>
          </cell>
          <cell r="D433">
            <v>0.66</v>
          </cell>
        </row>
        <row r="434">
          <cell r="A434" t="str">
            <v>txc-4411</v>
          </cell>
          <cell r="B434" t="str">
            <v>txc</v>
          </cell>
          <cell r="C434">
            <v>4411</v>
          </cell>
          <cell r="D434">
            <v>1.07</v>
          </cell>
        </row>
        <row r="435">
          <cell r="A435" t="str">
            <v>txc-4412</v>
          </cell>
          <cell r="B435" t="str">
            <v>txc</v>
          </cell>
          <cell r="C435">
            <v>4412</v>
          </cell>
          <cell r="D435">
            <v>3.19</v>
          </cell>
        </row>
        <row r="436">
          <cell r="A436" t="str">
            <v>txc-4401</v>
          </cell>
          <cell r="B436" t="str">
            <v>txc</v>
          </cell>
          <cell r="C436">
            <v>4401</v>
          </cell>
          <cell r="D436">
            <v>4.49</v>
          </cell>
        </row>
        <row r="437">
          <cell r="A437" t="str">
            <v>txc-4402</v>
          </cell>
          <cell r="B437" t="str">
            <v>txc</v>
          </cell>
          <cell r="C437">
            <v>4402</v>
          </cell>
          <cell r="D437">
            <v>2.0099999999999998</v>
          </cell>
        </row>
        <row r="438">
          <cell r="A438" t="str">
            <v>txc-4501</v>
          </cell>
          <cell r="B438" t="str">
            <v>txc</v>
          </cell>
          <cell r="C438">
            <v>4501</v>
          </cell>
          <cell r="D438">
            <v>0.28999999999999998</v>
          </cell>
        </row>
        <row r="439">
          <cell r="A439" t="str">
            <v>txc-4502</v>
          </cell>
          <cell r="B439" t="str">
            <v>txc</v>
          </cell>
          <cell r="C439">
            <v>4502</v>
          </cell>
          <cell r="D439">
            <v>0.24</v>
          </cell>
        </row>
        <row r="440">
          <cell r="A440" t="str">
            <v>txc-4511</v>
          </cell>
          <cell r="B440" t="str">
            <v>txc</v>
          </cell>
          <cell r="C440">
            <v>4511</v>
          </cell>
          <cell r="D440">
            <v>4.5</v>
          </cell>
        </row>
        <row r="441">
          <cell r="A441" t="str">
            <v>txc-4512</v>
          </cell>
          <cell r="B441" t="str">
            <v>txc</v>
          </cell>
          <cell r="C441">
            <v>4512</v>
          </cell>
          <cell r="D441">
            <v>17.87</v>
          </cell>
        </row>
        <row r="442">
          <cell r="A442" t="str">
            <v>txc-4601</v>
          </cell>
          <cell r="B442" t="str">
            <v>txc</v>
          </cell>
          <cell r="C442">
            <v>4601</v>
          </cell>
          <cell r="D442">
            <v>0.19</v>
          </cell>
        </row>
        <row r="443">
          <cell r="A443" t="str">
            <v>txc-4602</v>
          </cell>
          <cell r="B443" t="str">
            <v>txc</v>
          </cell>
          <cell r="C443">
            <v>4602</v>
          </cell>
          <cell r="D443">
            <v>1.47</v>
          </cell>
        </row>
        <row r="444">
          <cell r="A444" t="str">
            <v>txc-4711</v>
          </cell>
          <cell r="B444" t="str">
            <v>txc</v>
          </cell>
          <cell r="C444">
            <v>4711</v>
          </cell>
          <cell r="D444">
            <v>22.66</v>
          </cell>
        </row>
        <row r="445">
          <cell r="A445" t="str">
            <v>txc-4712</v>
          </cell>
          <cell r="B445" t="str">
            <v>txc</v>
          </cell>
          <cell r="C445">
            <v>4712</v>
          </cell>
          <cell r="D445">
            <v>3.14</v>
          </cell>
        </row>
        <row r="446">
          <cell r="A446" t="str">
            <v>txc-4701</v>
          </cell>
          <cell r="B446" t="str">
            <v>txc</v>
          </cell>
          <cell r="C446">
            <v>4701</v>
          </cell>
          <cell r="D446">
            <v>1.1000000000000001</v>
          </cell>
        </row>
        <row r="447">
          <cell r="A447" t="str">
            <v>txc-4702</v>
          </cell>
          <cell r="B447" t="str">
            <v>txc</v>
          </cell>
          <cell r="C447">
            <v>4702</v>
          </cell>
          <cell r="D447">
            <v>0.22</v>
          </cell>
        </row>
        <row r="448">
          <cell r="A448" t="str">
            <v>txc-4801</v>
          </cell>
          <cell r="B448" t="str">
            <v>txc</v>
          </cell>
          <cell r="C448">
            <v>4801</v>
          </cell>
          <cell r="D448">
            <v>4.13</v>
          </cell>
        </row>
        <row r="449">
          <cell r="A449" t="str">
            <v>txc-4802</v>
          </cell>
          <cell r="B449" t="str">
            <v>txc</v>
          </cell>
          <cell r="C449">
            <v>4802</v>
          </cell>
          <cell r="D449">
            <v>0.46</v>
          </cell>
        </row>
        <row r="450">
          <cell r="A450" t="str">
            <v>txc-4811</v>
          </cell>
          <cell r="B450" t="str">
            <v>txc</v>
          </cell>
          <cell r="C450">
            <v>4811</v>
          </cell>
          <cell r="D450">
            <v>0.26</v>
          </cell>
        </row>
        <row r="451">
          <cell r="A451" t="str">
            <v>txc-4812</v>
          </cell>
          <cell r="B451" t="str">
            <v>txc</v>
          </cell>
          <cell r="C451">
            <v>4812</v>
          </cell>
          <cell r="D451">
            <v>15.75</v>
          </cell>
        </row>
        <row r="452">
          <cell r="A452" t="str">
            <v>txc-4921</v>
          </cell>
          <cell r="B452" t="str">
            <v>txc</v>
          </cell>
          <cell r="C452">
            <v>4921</v>
          </cell>
          <cell r="D452">
            <v>2.04</v>
          </cell>
        </row>
        <row r="453">
          <cell r="A453" t="str">
            <v>txc-4922</v>
          </cell>
          <cell r="B453" t="str">
            <v>txc</v>
          </cell>
          <cell r="C453">
            <v>4922</v>
          </cell>
          <cell r="D453">
            <v>6.86</v>
          </cell>
        </row>
        <row r="454">
          <cell r="A454" t="str">
            <v>txc-4911</v>
          </cell>
          <cell r="B454" t="str">
            <v>txc</v>
          </cell>
          <cell r="C454">
            <v>4911</v>
          </cell>
          <cell r="D454">
            <v>5.55</v>
          </cell>
        </row>
        <row r="455">
          <cell r="A455" t="str">
            <v>txc-4912</v>
          </cell>
          <cell r="B455" t="str">
            <v>txc</v>
          </cell>
          <cell r="C455">
            <v>4912</v>
          </cell>
          <cell r="D455">
            <v>1.58</v>
          </cell>
        </row>
        <row r="456">
          <cell r="A456" t="str">
            <v>txc-4901</v>
          </cell>
          <cell r="B456" t="str">
            <v>txc</v>
          </cell>
          <cell r="C456">
            <v>4901</v>
          </cell>
          <cell r="D456">
            <v>0.83</v>
          </cell>
        </row>
        <row r="457">
          <cell r="A457" t="str">
            <v>txc-4902</v>
          </cell>
          <cell r="B457" t="str">
            <v>txc</v>
          </cell>
          <cell r="C457">
            <v>4902</v>
          </cell>
          <cell r="D457">
            <v>12.97</v>
          </cell>
        </row>
        <row r="458">
          <cell r="A458" t="str">
            <v>txc-501</v>
          </cell>
          <cell r="B458" t="str">
            <v>txc</v>
          </cell>
          <cell r="C458">
            <v>501</v>
          </cell>
          <cell r="D458">
            <v>1.73</v>
          </cell>
        </row>
        <row r="459">
          <cell r="A459" t="str">
            <v>txc-502</v>
          </cell>
          <cell r="B459" t="str">
            <v>txc</v>
          </cell>
          <cell r="C459">
            <v>502</v>
          </cell>
          <cell r="D459">
            <v>5.86</v>
          </cell>
        </row>
        <row r="460">
          <cell r="A460" t="str">
            <v>txc-5301</v>
          </cell>
          <cell r="B460" t="str">
            <v>txc</v>
          </cell>
          <cell r="C460">
            <v>5301</v>
          </cell>
          <cell r="D460">
            <v>1.75</v>
          </cell>
        </row>
        <row r="461">
          <cell r="A461" t="str">
            <v>txc-5302</v>
          </cell>
          <cell r="B461" t="str">
            <v>txc</v>
          </cell>
          <cell r="C461">
            <v>5302</v>
          </cell>
          <cell r="D461">
            <v>0.17</v>
          </cell>
        </row>
        <row r="462">
          <cell r="A462" t="str">
            <v>txc-5421</v>
          </cell>
          <cell r="B462" t="str">
            <v>txc</v>
          </cell>
          <cell r="C462">
            <v>5421</v>
          </cell>
          <cell r="D462">
            <v>0.99</v>
          </cell>
        </row>
        <row r="463">
          <cell r="A463" t="str">
            <v>txc-5422</v>
          </cell>
          <cell r="B463" t="str">
            <v>txc</v>
          </cell>
          <cell r="C463">
            <v>5422</v>
          </cell>
          <cell r="D463">
            <v>2.38</v>
          </cell>
        </row>
        <row r="464">
          <cell r="A464" t="str">
            <v>txc-5411</v>
          </cell>
          <cell r="B464" t="str">
            <v>txc</v>
          </cell>
          <cell r="C464">
            <v>5411</v>
          </cell>
          <cell r="D464">
            <v>1.77</v>
          </cell>
        </row>
        <row r="465">
          <cell r="A465" t="str">
            <v>txc-5412</v>
          </cell>
          <cell r="B465" t="str">
            <v>txc</v>
          </cell>
          <cell r="C465">
            <v>5412</v>
          </cell>
          <cell r="D465">
            <v>2.73</v>
          </cell>
        </row>
        <row r="466">
          <cell r="A466" t="str">
            <v>txc-5401</v>
          </cell>
          <cell r="B466" t="str">
            <v>txc</v>
          </cell>
          <cell r="C466">
            <v>5401</v>
          </cell>
          <cell r="D466">
            <v>0.84</v>
          </cell>
        </row>
        <row r="467">
          <cell r="A467" t="str">
            <v>txc-5402</v>
          </cell>
          <cell r="B467" t="str">
            <v>txc</v>
          </cell>
          <cell r="C467">
            <v>5402</v>
          </cell>
          <cell r="D467">
            <v>0.83</v>
          </cell>
        </row>
        <row r="468">
          <cell r="A468" t="str">
            <v>txc-5501</v>
          </cell>
          <cell r="B468" t="str">
            <v>txc</v>
          </cell>
          <cell r="C468">
            <v>5501</v>
          </cell>
          <cell r="D468">
            <v>0.57999999999999996</v>
          </cell>
        </row>
        <row r="469">
          <cell r="A469" t="str">
            <v>txc-5502</v>
          </cell>
          <cell r="B469" t="str">
            <v>txc</v>
          </cell>
          <cell r="C469">
            <v>5502</v>
          </cell>
          <cell r="D469">
            <v>0.85</v>
          </cell>
        </row>
        <row r="470">
          <cell r="A470" t="str">
            <v>txc-5511</v>
          </cell>
          <cell r="B470" t="str">
            <v>txc</v>
          </cell>
          <cell r="C470">
            <v>5511</v>
          </cell>
          <cell r="D470">
            <v>2.0499999999999998</v>
          </cell>
        </row>
        <row r="471">
          <cell r="A471" t="str">
            <v>txc-5512</v>
          </cell>
          <cell r="B471" t="str">
            <v>txc</v>
          </cell>
          <cell r="C471">
            <v>5512</v>
          </cell>
          <cell r="D471">
            <v>1.42</v>
          </cell>
        </row>
        <row r="472">
          <cell r="A472" t="str">
            <v>txc-5601</v>
          </cell>
          <cell r="B472" t="str">
            <v>txc</v>
          </cell>
          <cell r="C472">
            <v>5601</v>
          </cell>
          <cell r="D472">
            <v>7.02</v>
          </cell>
        </row>
        <row r="473">
          <cell r="A473" t="str">
            <v>txc-5602</v>
          </cell>
          <cell r="B473" t="str">
            <v>txc</v>
          </cell>
          <cell r="C473">
            <v>5602</v>
          </cell>
          <cell r="D473">
            <v>14.19</v>
          </cell>
        </row>
        <row r="474">
          <cell r="A474" t="str">
            <v>txc-5801</v>
          </cell>
          <cell r="B474" t="str">
            <v>txc</v>
          </cell>
          <cell r="C474">
            <v>5801</v>
          </cell>
          <cell r="D474">
            <v>0.42</v>
          </cell>
        </row>
        <row r="475">
          <cell r="A475" t="str">
            <v>txc-5802</v>
          </cell>
          <cell r="B475" t="str">
            <v>txc</v>
          </cell>
          <cell r="C475">
            <v>5802</v>
          </cell>
          <cell r="D475">
            <v>0.42</v>
          </cell>
        </row>
        <row r="476">
          <cell r="A476" t="str">
            <v>txc-601</v>
          </cell>
          <cell r="B476" t="str">
            <v>txc</v>
          </cell>
          <cell r="C476">
            <v>601</v>
          </cell>
          <cell r="D476">
            <v>4.42</v>
          </cell>
        </row>
        <row r="477">
          <cell r="A477" t="str">
            <v>txc-602</v>
          </cell>
          <cell r="B477" t="str">
            <v>txc</v>
          </cell>
          <cell r="C477">
            <v>602</v>
          </cell>
          <cell r="D477">
            <v>0.38</v>
          </cell>
        </row>
        <row r="478">
          <cell r="A478" t="str">
            <v>txc-6101</v>
          </cell>
          <cell r="B478" t="str">
            <v>txc</v>
          </cell>
          <cell r="C478">
            <v>6101</v>
          </cell>
          <cell r="D478">
            <v>2.2999999999999998</v>
          </cell>
        </row>
        <row r="479">
          <cell r="A479" t="str">
            <v>txc-6102</v>
          </cell>
          <cell r="B479" t="str">
            <v>txc</v>
          </cell>
          <cell r="C479">
            <v>6102</v>
          </cell>
          <cell r="D479">
            <v>0.3</v>
          </cell>
        </row>
        <row r="480">
          <cell r="A480" t="str">
            <v>txc-6201</v>
          </cell>
          <cell r="B480" t="str">
            <v>txc</v>
          </cell>
          <cell r="C480">
            <v>6201</v>
          </cell>
          <cell r="D480">
            <v>4.43</v>
          </cell>
        </row>
        <row r="481">
          <cell r="A481" t="str">
            <v>txc-6202</v>
          </cell>
          <cell r="B481" t="str">
            <v>txc</v>
          </cell>
          <cell r="C481">
            <v>6202</v>
          </cell>
          <cell r="D481">
            <v>0.47</v>
          </cell>
        </row>
        <row r="482">
          <cell r="A482" t="str">
            <v>txc-6211</v>
          </cell>
          <cell r="B482" t="str">
            <v>txc</v>
          </cell>
          <cell r="C482">
            <v>6211</v>
          </cell>
          <cell r="D482">
            <v>8</v>
          </cell>
        </row>
        <row r="483">
          <cell r="A483" t="str">
            <v>txc-6212</v>
          </cell>
          <cell r="B483" t="str">
            <v>txc</v>
          </cell>
          <cell r="C483">
            <v>6212</v>
          </cell>
          <cell r="D483">
            <v>1.0900000000000001</v>
          </cell>
        </row>
        <row r="484">
          <cell r="A484" t="str">
            <v>txc-6501</v>
          </cell>
          <cell r="B484" t="str">
            <v>txc</v>
          </cell>
          <cell r="C484">
            <v>6501</v>
          </cell>
          <cell r="D484">
            <v>0.6</v>
          </cell>
        </row>
        <row r="485">
          <cell r="A485" t="str">
            <v>txc-6502</v>
          </cell>
          <cell r="B485" t="str">
            <v>txc</v>
          </cell>
          <cell r="C485">
            <v>6502</v>
          </cell>
          <cell r="D485">
            <v>0.78</v>
          </cell>
        </row>
        <row r="486">
          <cell r="A486" t="str">
            <v>txc-6511</v>
          </cell>
          <cell r="B486" t="str">
            <v>txc</v>
          </cell>
          <cell r="C486">
            <v>6511</v>
          </cell>
          <cell r="D486">
            <v>0.87</v>
          </cell>
        </row>
        <row r="487">
          <cell r="A487" t="str">
            <v>txc-6512</v>
          </cell>
          <cell r="B487" t="str">
            <v>txc</v>
          </cell>
          <cell r="C487">
            <v>6512</v>
          </cell>
          <cell r="D487">
            <v>0.28999999999999998</v>
          </cell>
        </row>
        <row r="488">
          <cell r="A488" t="str">
            <v>txc-6601</v>
          </cell>
          <cell r="B488" t="str">
            <v>txc</v>
          </cell>
          <cell r="C488">
            <v>6601</v>
          </cell>
          <cell r="D488">
            <v>2.15</v>
          </cell>
        </row>
        <row r="489">
          <cell r="A489" t="str">
            <v>txc-6602</v>
          </cell>
          <cell r="B489" t="str">
            <v>txc</v>
          </cell>
          <cell r="C489">
            <v>6602</v>
          </cell>
          <cell r="D489">
            <v>3.5</v>
          </cell>
        </row>
        <row r="490">
          <cell r="A490" t="str">
            <v>txc-6621</v>
          </cell>
          <cell r="B490" t="str">
            <v>txc</v>
          </cell>
          <cell r="C490">
            <v>6621</v>
          </cell>
          <cell r="D490">
            <v>1.25</v>
          </cell>
        </row>
        <row r="491">
          <cell r="A491" t="str">
            <v>txc-6622</v>
          </cell>
          <cell r="B491" t="str">
            <v>txc</v>
          </cell>
          <cell r="C491">
            <v>6622</v>
          </cell>
          <cell r="D491">
            <v>5.67</v>
          </cell>
        </row>
        <row r="492">
          <cell r="A492" t="str">
            <v>txc-6611</v>
          </cell>
          <cell r="B492" t="str">
            <v>txc</v>
          </cell>
          <cell r="C492">
            <v>6611</v>
          </cell>
          <cell r="D492">
            <v>2.34</v>
          </cell>
        </row>
        <row r="493">
          <cell r="A493" t="str">
            <v>txc-6612</v>
          </cell>
          <cell r="B493" t="str">
            <v>txc</v>
          </cell>
          <cell r="C493">
            <v>6612</v>
          </cell>
          <cell r="D493">
            <v>0.56999999999999995</v>
          </cell>
        </row>
        <row r="494">
          <cell r="A494" t="str">
            <v>txc-6901</v>
          </cell>
          <cell r="B494" t="str">
            <v>txc</v>
          </cell>
          <cell r="C494">
            <v>6901</v>
          </cell>
          <cell r="D494">
            <v>0.72</v>
          </cell>
        </row>
        <row r="495">
          <cell r="A495" t="str">
            <v>txc-6902</v>
          </cell>
          <cell r="B495" t="str">
            <v>txc</v>
          </cell>
          <cell r="C495">
            <v>6902</v>
          </cell>
          <cell r="D495">
            <v>3.77</v>
          </cell>
        </row>
        <row r="496">
          <cell r="A496" t="str">
            <v>txc-6911</v>
          </cell>
          <cell r="B496" t="str">
            <v>txc</v>
          </cell>
          <cell r="C496">
            <v>6911</v>
          </cell>
          <cell r="D496">
            <v>0.21</v>
          </cell>
        </row>
        <row r="497">
          <cell r="A497" t="str">
            <v>txc-6912</v>
          </cell>
          <cell r="B497" t="str">
            <v>txc</v>
          </cell>
          <cell r="C497">
            <v>6912</v>
          </cell>
          <cell r="D497">
            <v>0.91</v>
          </cell>
        </row>
        <row r="498">
          <cell r="A498" t="str">
            <v>txc-6921</v>
          </cell>
          <cell r="B498" t="str">
            <v>txc</v>
          </cell>
          <cell r="C498">
            <v>6921</v>
          </cell>
          <cell r="D498">
            <v>0.22</v>
          </cell>
        </row>
        <row r="499">
          <cell r="A499" t="str">
            <v>txc-6922</v>
          </cell>
          <cell r="B499" t="str">
            <v>txc</v>
          </cell>
          <cell r="C499">
            <v>6922</v>
          </cell>
          <cell r="D499">
            <v>0.28999999999999998</v>
          </cell>
        </row>
        <row r="500">
          <cell r="A500" t="str">
            <v>txc-711</v>
          </cell>
          <cell r="B500" t="str">
            <v>txc</v>
          </cell>
          <cell r="C500">
            <v>711</v>
          </cell>
          <cell r="D500">
            <v>1.1200000000000001</v>
          </cell>
        </row>
        <row r="501">
          <cell r="A501" t="str">
            <v>txc-712</v>
          </cell>
          <cell r="B501" t="str">
            <v>txc</v>
          </cell>
          <cell r="C501">
            <v>712</v>
          </cell>
          <cell r="D501">
            <v>6.39</v>
          </cell>
        </row>
        <row r="502">
          <cell r="A502" t="str">
            <v>txc-721</v>
          </cell>
          <cell r="B502" t="str">
            <v>txc</v>
          </cell>
          <cell r="C502">
            <v>721</v>
          </cell>
          <cell r="D502">
            <v>0.38</v>
          </cell>
        </row>
        <row r="503">
          <cell r="A503" t="str">
            <v>txc-722</v>
          </cell>
          <cell r="B503" t="str">
            <v>txc</v>
          </cell>
          <cell r="C503">
            <v>722</v>
          </cell>
          <cell r="D503">
            <v>1.26</v>
          </cell>
        </row>
        <row r="504">
          <cell r="A504" t="str">
            <v>txc-701</v>
          </cell>
          <cell r="B504" t="str">
            <v>txc</v>
          </cell>
          <cell r="C504">
            <v>701</v>
          </cell>
          <cell r="D504">
            <v>0.34</v>
          </cell>
        </row>
        <row r="505">
          <cell r="A505" t="str">
            <v>txc-702</v>
          </cell>
          <cell r="B505" t="str">
            <v>txc</v>
          </cell>
          <cell r="C505">
            <v>702</v>
          </cell>
          <cell r="D505">
            <v>0.54</v>
          </cell>
        </row>
        <row r="506">
          <cell r="A506" t="str">
            <v>txc-7001</v>
          </cell>
          <cell r="B506" t="str">
            <v>txc</v>
          </cell>
          <cell r="C506">
            <v>7001</v>
          </cell>
          <cell r="D506">
            <v>0.42</v>
          </cell>
        </row>
        <row r="507">
          <cell r="A507" t="str">
            <v>txc-7002</v>
          </cell>
          <cell r="B507" t="str">
            <v>txc</v>
          </cell>
          <cell r="C507">
            <v>7002</v>
          </cell>
          <cell r="D507">
            <v>7.28</v>
          </cell>
        </row>
        <row r="508">
          <cell r="A508" t="str">
            <v>txc-7101</v>
          </cell>
          <cell r="B508" t="str">
            <v>txc</v>
          </cell>
          <cell r="C508">
            <v>7101</v>
          </cell>
          <cell r="D508">
            <v>0.16</v>
          </cell>
        </row>
        <row r="509">
          <cell r="A509" t="str">
            <v>txc-7102</v>
          </cell>
          <cell r="B509" t="str">
            <v>txc</v>
          </cell>
          <cell r="C509">
            <v>7102</v>
          </cell>
          <cell r="D509">
            <v>1.06</v>
          </cell>
        </row>
        <row r="510">
          <cell r="A510" t="str">
            <v>txc-7111</v>
          </cell>
          <cell r="B510" t="str">
            <v>txc</v>
          </cell>
          <cell r="C510">
            <v>7111</v>
          </cell>
          <cell r="D510">
            <v>5.44</v>
          </cell>
        </row>
        <row r="511">
          <cell r="A511" t="str">
            <v>txc-7112</v>
          </cell>
          <cell r="B511" t="str">
            <v>txc</v>
          </cell>
          <cell r="C511">
            <v>7112</v>
          </cell>
          <cell r="D511">
            <v>1.82</v>
          </cell>
        </row>
        <row r="512">
          <cell r="A512" t="str">
            <v>txc-7121</v>
          </cell>
          <cell r="B512" t="str">
            <v>txc</v>
          </cell>
          <cell r="C512">
            <v>7121</v>
          </cell>
          <cell r="D512">
            <v>0.13</v>
          </cell>
        </row>
        <row r="513">
          <cell r="A513" t="str">
            <v>txc-7122</v>
          </cell>
          <cell r="B513" t="str">
            <v>txc</v>
          </cell>
          <cell r="C513">
            <v>7122</v>
          </cell>
          <cell r="D513">
            <v>2.75</v>
          </cell>
        </row>
        <row r="514">
          <cell r="A514" t="str">
            <v>txc-7301</v>
          </cell>
          <cell r="B514" t="str">
            <v>txc</v>
          </cell>
          <cell r="C514">
            <v>7301</v>
          </cell>
          <cell r="D514">
            <v>3.43</v>
          </cell>
        </row>
        <row r="515">
          <cell r="A515" t="str">
            <v>txc-7302</v>
          </cell>
          <cell r="B515" t="str">
            <v>txc</v>
          </cell>
          <cell r="C515">
            <v>7302</v>
          </cell>
          <cell r="D515">
            <v>2.2400000000000002</v>
          </cell>
        </row>
        <row r="516">
          <cell r="A516" t="str">
            <v>txc-7421</v>
          </cell>
          <cell r="B516" t="str">
            <v>txc</v>
          </cell>
          <cell r="C516">
            <v>7421</v>
          </cell>
          <cell r="D516">
            <v>0.43</v>
          </cell>
        </row>
        <row r="517">
          <cell r="A517" t="str">
            <v>txc-7422</v>
          </cell>
          <cell r="B517" t="str">
            <v>txc</v>
          </cell>
          <cell r="C517">
            <v>7422</v>
          </cell>
          <cell r="D517">
            <v>3.36</v>
          </cell>
        </row>
        <row r="518">
          <cell r="A518" t="str">
            <v>txc-7411</v>
          </cell>
          <cell r="B518" t="str">
            <v>txc</v>
          </cell>
          <cell r="C518">
            <v>7411</v>
          </cell>
          <cell r="D518">
            <v>0.82</v>
          </cell>
        </row>
        <row r="519">
          <cell r="A519" t="str">
            <v>txc-7412</v>
          </cell>
          <cell r="B519" t="str">
            <v>txc</v>
          </cell>
          <cell r="C519">
            <v>7412</v>
          </cell>
          <cell r="D519">
            <v>0.77</v>
          </cell>
        </row>
        <row r="520">
          <cell r="A520" t="str">
            <v>txc-7401</v>
          </cell>
          <cell r="B520" t="str">
            <v>txc</v>
          </cell>
          <cell r="C520">
            <v>7401</v>
          </cell>
          <cell r="D520">
            <v>5.71</v>
          </cell>
        </row>
        <row r="521">
          <cell r="A521" t="str">
            <v>txc-7402</v>
          </cell>
          <cell r="B521" t="str">
            <v>txc</v>
          </cell>
          <cell r="C521">
            <v>7402</v>
          </cell>
          <cell r="D521">
            <v>0.26</v>
          </cell>
        </row>
        <row r="522">
          <cell r="A522" t="str">
            <v>txc-7501</v>
          </cell>
          <cell r="B522" t="str">
            <v>txc</v>
          </cell>
          <cell r="C522">
            <v>7501</v>
          </cell>
          <cell r="D522">
            <v>4.38</v>
          </cell>
        </row>
        <row r="523">
          <cell r="A523" t="str">
            <v>txc-7502</v>
          </cell>
          <cell r="B523" t="str">
            <v>txc</v>
          </cell>
          <cell r="C523">
            <v>7502</v>
          </cell>
          <cell r="D523">
            <v>1.69</v>
          </cell>
        </row>
        <row r="524">
          <cell r="A524" t="str">
            <v>txc-7521</v>
          </cell>
          <cell r="B524" t="str">
            <v>txc</v>
          </cell>
          <cell r="C524">
            <v>7521</v>
          </cell>
          <cell r="D524">
            <v>1.1499999999999999</v>
          </cell>
        </row>
        <row r="525">
          <cell r="A525" t="str">
            <v>txc-7522</v>
          </cell>
          <cell r="B525" t="str">
            <v>txc</v>
          </cell>
          <cell r="C525">
            <v>7522</v>
          </cell>
          <cell r="D525">
            <v>0.24</v>
          </cell>
        </row>
        <row r="526">
          <cell r="A526" t="str">
            <v>txc-7511</v>
          </cell>
          <cell r="B526" t="str">
            <v>txc</v>
          </cell>
          <cell r="C526">
            <v>7511</v>
          </cell>
          <cell r="D526">
            <v>0.91</v>
          </cell>
        </row>
        <row r="527">
          <cell r="A527" t="str">
            <v>txc-7512</v>
          </cell>
          <cell r="B527" t="str">
            <v>txc</v>
          </cell>
          <cell r="C527">
            <v>7512</v>
          </cell>
          <cell r="D527">
            <v>0.78</v>
          </cell>
        </row>
        <row r="528">
          <cell r="A528" t="str">
            <v>txc-7701</v>
          </cell>
          <cell r="B528" t="str">
            <v>txc</v>
          </cell>
          <cell r="C528">
            <v>7701</v>
          </cell>
          <cell r="D528">
            <v>4.7300000000000004</v>
          </cell>
        </row>
        <row r="529">
          <cell r="A529" t="str">
            <v>txc-7702</v>
          </cell>
          <cell r="B529" t="str">
            <v>txc</v>
          </cell>
          <cell r="C529">
            <v>7702</v>
          </cell>
          <cell r="D529">
            <v>12.85</v>
          </cell>
        </row>
        <row r="530">
          <cell r="A530" t="str">
            <v>txc-7711</v>
          </cell>
          <cell r="B530" t="str">
            <v>txc</v>
          </cell>
          <cell r="C530">
            <v>7711</v>
          </cell>
          <cell r="D530">
            <v>0.81</v>
          </cell>
        </row>
        <row r="531">
          <cell r="A531" t="str">
            <v>txc-7712</v>
          </cell>
          <cell r="B531" t="str">
            <v>txc</v>
          </cell>
          <cell r="C531">
            <v>7712</v>
          </cell>
          <cell r="D531">
            <v>0.8</v>
          </cell>
        </row>
        <row r="532">
          <cell r="A532" t="str">
            <v>txc-7721</v>
          </cell>
          <cell r="B532" t="str">
            <v>txc</v>
          </cell>
          <cell r="C532">
            <v>7721</v>
          </cell>
          <cell r="D532">
            <v>0.3</v>
          </cell>
        </row>
        <row r="533">
          <cell r="A533" t="str">
            <v>txc-7722</v>
          </cell>
          <cell r="B533" t="str">
            <v>txc</v>
          </cell>
          <cell r="C533">
            <v>7722</v>
          </cell>
          <cell r="D533">
            <v>0.27</v>
          </cell>
        </row>
        <row r="534">
          <cell r="A534" t="str">
            <v>txc-7801</v>
          </cell>
          <cell r="B534" t="str">
            <v>txc</v>
          </cell>
          <cell r="C534">
            <v>7801</v>
          </cell>
          <cell r="D534">
            <v>4.79</v>
          </cell>
        </row>
        <row r="535">
          <cell r="A535" t="str">
            <v>txc-7802</v>
          </cell>
          <cell r="B535" t="str">
            <v>txc</v>
          </cell>
          <cell r="C535">
            <v>7802</v>
          </cell>
          <cell r="D535">
            <v>0.26</v>
          </cell>
        </row>
        <row r="536">
          <cell r="A536" t="str">
            <v>txc-731</v>
          </cell>
          <cell r="B536" t="str">
            <v>txc</v>
          </cell>
          <cell r="C536">
            <v>731</v>
          </cell>
          <cell r="D536">
            <v>4.07</v>
          </cell>
        </row>
        <row r="537">
          <cell r="A537" t="str">
            <v>txc-732</v>
          </cell>
          <cell r="B537" t="str">
            <v>txc</v>
          </cell>
          <cell r="C537">
            <v>732</v>
          </cell>
          <cell r="D537">
            <v>0.62</v>
          </cell>
        </row>
        <row r="538">
          <cell r="A538" t="str">
            <v>txc-741</v>
          </cell>
          <cell r="B538" t="str">
            <v>txc</v>
          </cell>
          <cell r="C538">
            <v>741</v>
          </cell>
          <cell r="D538">
            <v>0.32</v>
          </cell>
        </row>
        <row r="539">
          <cell r="A539" t="str">
            <v>txc-742</v>
          </cell>
          <cell r="B539" t="str">
            <v>txc</v>
          </cell>
          <cell r="C539">
            <v>742</v>
          </cell>
          <cell r="D539">
            <v>0.79</v>
          </cell>
        </row>
        <row r="540">
          <cell r="A540" t="str">
            <v>txc-802</v>
          </cell>
          <cell r="B540" t="str">
            <v>txc</v>
          </cell>
          <cell r="C540">
            <v>802</v>
          </cell>
          <cell r="D540">
            <v>6.43</v>
          </cell>
        </row>
        <row r="541">
          <cell r="A541" t="str">
            <v>txc-811</v>
          </cell>
          <cell r="B541" t="str">
            <v>txc</v>
          </cell>
          <cell r="C541">
            <v>811</v>
          </cell>
          <cell r="D541">
            <v>5.76</v>
          </cell>
        </row>
        <row r="542">
          <cell r="A542" t="str">
            <v>txc-812</v>
          </cell>
          <cell r="B542" t="str">
            <v>txc</v>
          </cell>
          <cell r="C542">
            <v>812</v>
          </cell>
          <cell r="D542">
            <v>0.27</v>
          </cell>
        </row>
        <row r="543">
          <cell r="A543" t="str">
            <v>txc-8001</v>
          </cell>
          <cell r="B543" t="str">
            <v>txc</v>
          </cell>
          <cell r="C543">
            <v>8001</v>
          </cell>
          <cell r="D543">
            <v>2.97</v>
          </cell>
        </row>
        <row r="544">
          <cell r="A544" t="str">
            <v>txc-8002</v>
          </cell>
          <cell r="B544" t="str">
            <v>txc</v>
          </cell>
          <cell r="C544">
            <v>8002</v>
          </cell>
          <cell r="D544">
            <v>7.35</v>
          </cell>
        </row>
        <row r="545">
          <cell r="A545" t="str">
            <v>txc-8201</v>
          </cell>
          <cell r="B545" t="str">
            <v>txc</v>
          </cell>
          <cell r="C545">
            <v>8201</v>
          </cell>
          <cell r="D545">
            <v>0.55000000000000004</v>
          </cell>
        </row>
        <row r="546">
          <cell r="A546" t="str">
            <v>txc-8202</v>
          </cell>
          <cell r="B546" t="str">
            <v>txc</v>
          </cell>
          <cell r="C546">
            <v>8202</v>
          </cell>
          <cell r="D546">
            <v>5.62</v>
          </cell>
        </row>
        <row r="547">
          <cell r="A547" t="str">
            <v>txc-8301</v>
          </cell>
          <cell r="B547" t="str">
            <v>txc</v>
          </cell>
          <cell r="C547">
            <v>8301</v>
          </cell>
          <cell r="D547">
            <v>6.59</v>
          </cell>
        </row>
        <row r="548">
          <cell r="A548" t="str">
            <v>txc-8302</v>
          </cell>
          <cell r="B548" t="str">
            <v>txc</v>
          </cell>
          <cell r="C548">
            <v>8302</v>
          </cell>
          <cell r="D548">
            <v>0.36</v>
          </cell>
        </row>
        <row r="549">
          <cell r="A549" t="str">
            <v>txc-8611</v>
          </cell>
          <cell r="B549" t="str">
            <v>txc</v>
          </cell>
          <cell r="C549">
            <v>8611</v>
          </cell>
          <cell r="D549">
            <v>0.56000000000000005</v>
          </cell>
        </row>
        <row r="550">
          <cell r="A550" t="str">
            <v>txc-8612</v>
          </cell>
          <cell r="B550" t="str">
            <v>txc</v>
          </cell>
          <cell r="C550">
            <v>8612</v>
          </cell>
          <cell r="D550">
            <v>0.52</v>
          </cell>
        </row>
        <row r="551">
          <cell r="A551" t="str">
            <v>txc-8621</v>
          </cell>
          <cell r="B551" t="str">
            <v>txc</v>
          </cell>
          <cell r="C551">
            <v>8621</v>
          </cell>
          <cell r="D551">
            <v>5.09</v>
          </cell>
        </row>
        <row r="552">
          <cell r="A552" t="str">
            <v>txc-8622</v>
          </cell>
          <cell r="B552" t="str">
            <v>txc</v>
          </cell>
          <cell r="C552">
            <v>8622</v>
          </cell>
          <cell r="D552">
            <v>7.12</v>
          </cell>
        </row>
        <row r="553">
          <cell r="A553" t="str">
            <v>txc-8701</v>
          </cell>
          <cell r="B553" t="str">
            <v>txc</v>
          </cell>
          <cell r="C553">
            <v>8701</v>
          </cell>
          <cell r="D553">
            <v>4.0199999999999996</v>
          </cell>
        </row>
        <row r="554">
          <cell r="A554" t="str">
            <v>txc-8711</v>
          </cell>
          <cell r="B554" t="str">
            <v>txc</v>
          </cell>
          <cell r="C554">
            <v>8711</v>
          </cell>
          <cell r="D554">
            <v>3.04</v>
          </cell>
        </row>
        <row r="555">
          <cell r="A555" t="str">
            <v>txc-8712</v>
          </cell>
          <cell r="B555" t="str">
            <v>txc</v>
          </cell>
          <cell r="C555">
            <v>8712</v>
          </cell>
          <cell r="D555">
            <v>6.88</v>
          </cell>
        </row>
        <row r="556">
          <cell r="A556" t="str">
            <v>txc-8901</v>
          </cell>
          <cell r="B556" t="str">
            <v>txc</v>
          </cell>
          <cell r="C556">
            <v>8901</v>
          </cell>
          <cell r="D556">
            <v>0.31</v>
          </cell>
        </row>
        <row r="557">
          <cell r="A557" t="str">
            <v>txc-8902</v>
          </cell>
          <cell r="B557" t="str">
            <v>txc</v>
          </cell>
          <cell r="C557">
            <v>8902</v>
          </cell>
          <cell r="D557">
            <v>0.76</v>
          </cell>
        </row>
        <row r="558">
          <cell r="A558" t="str">
            <v>txc-901</v>
          </cell>
          <cell r="B558" t="str">
            <v>txc</v>
          </cell>
          <cell r="C558">
            <v>901</v>
          </cell>
          <cell r="D558">
            <v>19.71</v>
          </cell>
        </row>
        <row r="559">
          <cell r="A559" t="str">
            <v>txc-902</v>
          </cell>
          <cell r="B559" t="str">
            <v>txc</v>
          </cell>
          <cell r="C559">
            <v>902</v>
          </cell>
          <cell r="D559">
            <v>18.52</v>
          </cell>
        </row>
        <row r="560">
          <cell r="A560" t="str">
            <v>txc-9001</v>
          </cell>
          <cell r="B560" t="str">
            <v>txc</v>
          </cell>
          <cell r="C560">
            <v>9001</v>
          </cell>
          <cell r="D560">
            <v>0.51</v>
          </cell>
        </row>
        <row r="561">
          <cell r="A561" t="str">
            <v>txc-9002</v>
          </cell>
          <cell r="B561" t="str">
            <v>txc</v>
          </cell>
          <cell r="C561">
            <v>9002</v>
          </cell>
          <cell r="D561">
            <v>9.73</v>
          </cell>
        </row>
        <row r="562">
          <cell r="A562" t="str">
            <v>txc-9211</v>
          </cell>
          <cell r="B562" t="str">
            <v>txc</v>
          </cell>
          <cell r="C562">
            <v>9211</v>
          </cell>
          <cell r="D562">
            <v>1.1399999999999999</v>
          </cell>
        </row>
        <row r="563">
          <cell r="A563" t="str">
            <v>txc-9212</v>
          </cell>
          <cell r="B563" t="str">
            <v>txc</v>
          </cell>
          <cell r="C563">
            <v>9212</v>
          </cell>
          <cell r="D563">
            <v>2.29</v>
          </cell>
        </row>
        <row r="564">
          <cell r="A564" t="str">
            <v>txc-9201</v>
          </cell>
          <cell r="B564" t="str">
            <v>txc</v>
          </cell>
          <cell r="C564">
            <v>9201</v>
          </cell>
          <cell r="D564">
            <v>0.31</v>
          </cell>
        </row>
        <row r="565">
          <cell r="A565" t="str">
            <v>txc-9202</v>
          </cell>
          <cell r="B565" t="str">
            <v>txc</v>
          </cell>
          <cell r="C565">
            <v>9202</v>
          </cell>
          <cell r="D565">
            <v>0.67</v>
          </cell>
        </row>
        <row r="566">
          <cell r="A566" t="str">
            <v>txc-9301</v>
          </cell>
          <cell r="B566" t="str">
            <v>txc</v>
          </cell>
          <cell r="C566">
            <v>9301</v>
          </cell>
          <cell r="D566">
            <v>24.76</v>
          </cell>
        </row>
        <row r="567">
          <cell r="A567" t="str">
            <v>txc-9302</v>
          </cell>
          <cell r="B567" t="str">
            <v>txc</v>
          </cell>
          <cell r="C567">
            <v>9302</v>
          </cell>
          <cell r="D567">
            <v>18.09</v>
          </cell>
        </row>
        <row r="568">
          <cell r="A568" t="str">
            <v>txc-9401</v>
          </cell>
          <cell r="B568" t="str">
            <v>txc</v>
          </cell>
          <cell r="C568">
            <v>9401</v>
          </cell>
          <cell r="D568">
            <v>0.39</v>
          </cell>
        </row>
        <row r="569">
          <cell r="A569" t="str">
            <v>txc-9701</v>
          </cell>
          <cell r="B569" t="str">
            <v>txc</v>
          </cell>
          <cell r="C569">
            <v>9701</v>
          </cell>
          <cell r="D569">
            <v>0.34</v>
          </cell>
        </row>
        <row r="570">
          <cell r="A570" t="str">
            <v>txc-9702</v>
          </cell>
          <cell r="B570" t="str">
            <v>txc</v>
          </cell>
          <cell r="C570">
            <v>9702</v>
          </cell>
          <cell r="D570">
            <v>1.24</v>
          </cell>
        </row>
        <row r="571">
          <cell r="A571" t="str">
            <v>txc-77712</v>
          </cell>
          <cell r="B571" t="str">
            <v>txc</v>
          </cell>
          <cell r="C571">
            <v>77712</v>
          </cell>
          <cell r="D571">
            <v>3.97</v>
          </cell>
        </row>
        <row r="572">
          <cell r="A572" t="str">
            <v>txc-77702</v>
          </cell>
          <cell r="B572" t="str">
            <v>txc</v>
          </cell>
          <cell r="C572">
            <v>77702</v>
          </cell>
          <cell r="D572">
            <v>0.7</v>
          </cell>
        </row>
        <row r="573">
          <cell r="A573" t="str">
            <v>txc-77701</v>
          </cell>
          <cell r="B573" t="str">
            <v>txc</v>
          </cell>
          <cell r="C573">
            <v>77701</v>
          </cell>
          <cell r="D573">
            <v>9.2100000000000009</v>
          </cell>
        </row>
        <row r="574">
          <cell r="A574" t="str">
            <v>txc-88811</v>
          </cell>
          <cell r="B574" t="str">
            <v>txc</v>
          </cell>
          <cell r="C574">
            <v>88811</v>
          </cell>
          <cell r="D574">
            <v>0.72</v>
          </cell>
        </row>
        <row r="575">
          <cell r="A575" t="str">
            <v>txc-88801</v>
          </cell>
          <cell r="B575" t="str">
            <v>txc</v>
          </cell>
          <cell r="C575">
            <v>88801</v>
          </cell>
          <cell r="D575">
            <v>0.6</v>
          </cell>
        </row>
        <row r="576">
          <cell r="A576" t="str">
            <v>txc-88802</v>
          </cell>
          <cell r="B576" t="str">
            <v>txc</v>
          </cell>
          <cell r="C576">
            <v>88802</v>
          </cell>
          <cell r="D576">
            <v>0.84</v>
          </cell>
        </row>
        <row r="577">
          <cell r="A577" t="str">
            <v>txc-88812</v>
          </cell>
          <cell r="B577" t="str">
            <v>txc</v>
          </cell>
          <cell r="C577">
            <v>88812</v>
          </cell>
          <cell r="D577">
            <v>1.06</v>
          </cell>
        </row>
        <row r="578">
          <cell r="A578" t="str">
            <v>txc-99901</v>
          </cell>
          <cell r="B578" t="str">
            <v>txc</v>
          </cell>
          <cell r="C578">
            <v>99901</v>
          </cell>
          <cell r="D578">
            <v>1.8</v>
          </cell>
        </row>
        <row r="579">
          <cell r="A579" t="str">
            <v>txc-99902</v>
          </cell>
          <cell r="B579" t="str">
            <v>txc</v>
          </cell>
          <cell r="C579">
            <v>99902</v>
          </cell>
          <cell r="D579">
            <v>1.99</v>
          </cell>
        </row>
        <row r="580">
          <cell r="A580" t="str">
            <v>txc-1421</v>
          </cell>
          <cell r="B580" t="str">
            <v>txc</v>
          </cell>
          <cell r="C580">
            <v>1421</v>
          </cell>
          <cell r="D580">
            <v>3.87</v>
          </cell>
        </row>
        <row r="581">
          <cell r="A581" t="str">
            <v>txc-801</v>
          </cell>
          <cell r="B581" t="str">
            <v>txc</v>
          </cell>
          <cell r="C581">
            <v>801</v>
          </cell>
          <cell r="D581">
            <v>5.66</v>
          </cell>
        </row>
        <row r="582">
          <cell r="A582" t="str">
            <v>txc-77711</v>
          </cell>
          <cell r="B582" t="str">
            <v>txc</v>
          </cell>
          <cell r="C582">
            <v>77711</v>
          </cell>
          <cell r="D582">
            <v>3.45</v>
          </cell>
        </row>
        <row r="583">
          <cell r="A583" t="str">
            <v>txc-312</v>
          </cell>
          <cell r="B583" t="str">
            <v>txc</v>
          </cell>
          <cell r="C583">
            <v>312</v>
          </cell>
          <cell r="D583">
            <v>11.87</v>
          </cell>
        </row>
        <row r="584">
          <cell r="A584" t="str">
            <v>txc-9402</v>
          </cell>
          <cell r="B584" t="str">
            <v>txc</v>
          </cell>
          <cell r="C584">
            <v>9402</v>
          </cell>
          <cell r="D584">
            <v>0.4</v>
          </cell>
        </row>
        <row r="585">
          <cell r="A585" t="str">
            <v>txc-8702</v>
          </cell>
          <cell r="B585" t="str">
            <v>txc</v>
          </cell>
          <cell r="C585">
            <v>8702</v>
          </cell>
          <cell r="D585">
            <v>9.19</v>
          </cell>
        </row>
        <row r="586">
          <cell r="A586" t="str">
            <v>txc-211</v>
          </cell>
          <cell r="B586" t="str">
            <v>txc</v>
          </cell>
          <cell r="C586">
            <v>211</v>
          </cell>
          <cell r="D586">
            <v>0.42</v>
          </cell>
        </row>
        <row r="587">
          <cell r="A587" t="str">
            <v>txc-212</v>
          </cell>
          <cell r="B587" t="str">
            <v>txc</v>
          </cell>
          <cell r="C587">
            <v>212</v>
          </cell>
          <cell r="D587">
            <v>1.98</v>
          </cell>
        </row>
        <row r="588">
          <cell r="A588" t="str">
            <v>txc-25021</v>
          </cell>
          <cell r="B588" t="str">
            <v>txc</v>
          </cell>
          <cell r="C588">
            <v>25021</v>
          </cell>
          <cell r="D588">
            <v>0.3</v>
          </cell>
        </row>
        <row r="589">
          <cell r="A589" t="str">
            <v>txc-25031</v>
          </cell>
          <cell r="B589" t="str">
            <v>txc</v>
          </cell>
          <cell r="C589">
            <v>25031</v>
          </cell>
          <cell r="D589">
            <v>0.19</v>
          </cell>
        </row>
        <row r="590">
          <cell r="A590" t="str">
            <v>txc-4932</v>
          </cell>
          <cell r="B590" t="str">
            <v>txc</v>
          </cell>
          <cell r="C590">
            <v>4932</v>
          </cell>
          <cell r="D590">
            <v>0.13</v>
          </cell>
        </row>
        <row r="591">
          <cell r="A591" t="str">
            <v>txc-7732</v>
          </cell>
          <cell r="B591" t="str">
            <v>txc</v>
          </cell>
          <cell r="C591">
            <v>7732</v>
          </cell>
          <cell r="D591">
            <v>0.19</v>
          </cell>
        </row>
        <row r="592">
          <cell r="A592" t="str">
            <v>txc-752</v>
          </cell>
          <cell r="B592" t="str">
            <v>txc</v>
          </cell>
          <cell r="C592">
            <v>752</v>
          </cell>
          <cell r="D592">
            <v>0.45</v>
          </cell>
        </row>
        <row r="593">
          <cell r="A593" t="str">
            <v>txc-12921</v>
          </cell>
          <cell r="B593" t="str">
            <v>txc</v>
          </cell>
          <cell r="C593">
            <v>12921</v>
          </cell>
          <cell r="D593">
            <v>3.33</v>
          </cell>
        </row>
        <row r="594">
          <cell r="A594" t="str">
            <v>txc-15521</v>
          </cell>
          <cell r="B594" t="str">
            <v>txc</v>
          </cell>
          <cell r="C594">
            <v>15521</v>
          </cell>
          <cell r="D594">
            <v>0.57999999999999996</v>
          </cell>
        </row>
        <row r="595">
          <cell r="A595" t="str">
            <v>txc-4721</v>
          </cell>
          <cell r="B595" t="str">
            <v>txc</v>
          </cell>
          <cell r="C595">
            <v>4721</v>
          </cell>
          <cell r="D595">
            <v>0.05</v>
          </cell>
        </row>
        <row r="596">
          <cell r="A596" t="str">
            <v>txc-4731</v>
          </cell>
          <cell r="B596" t="str">
            <v>txc</v>
          </cell>
          <cell r="C596">
            <v>4731</v>
          </cell>
          <cell r="D596">
            <v>38.049999999999997</v>
          </cell>
        </row>
        <row r="597">
          <cell r="A597" t="str">
            <v>txc-4741</v>
          </cell>
          <cell r="B597" t="str">
            <v>txc</v>
          </cell>
          <cell r="C597">
            <v>4741</v>
          </cell>
          <cell r="D597">
            <v>14.56</v>
          </cell>
        </row>
        <row r="598">
          <cell r="A598" t="str">
            <v>txc-3321</v>
          </cell>
          <cell r="B598" t="str">
            <v>txc</v>
          </cell>
          <cell r="C598">
            <v>3321</v>
          </cell>
          <cell r="D598">
            <v>0.2</v>
          </cell>
        </row>
        <row r="599">
          <cell r="A599" t="str">
            <v>txc-3331</v>
          </cell>
          <cell r="B599" t="str">
            <v>txc</v>
          </cell>
          <cell r="C599">
            <v>3331</v>
          </cell>
          <cell r="D599">
            <v>1.9</v>
          </cell>
        </row>
        <row r="600">
          <cell r="A600" t="str">
            <v>txc-</v>
          </cell>
          <cell r="B600" t="str">
            <v>txc</v>
          </cell>
        </row>
        <row r="601">
          <cell r="A601" t="str">
            <v>txc-</v>
          </cell>
          <cell r="B601" t="str">
            <v>txc</v>
          </cell>
        </row>
        <row r="602">
          <cell r="A602" t="str">
            <v>txc-</v>
          </cell>
          <cell r="B602" t="str">
            <v>txc</v>
          </cell>
        </row>
        <row r="603">
          <cell r="A603" t="str">
            <v>txc-</v>
          </cell>
          <cell r="B603" t="str">
            <v>txc</v>
          </cell>
        </row>
        <row r="604">
          <cell r="A604" t="str">
            <v>txc-</v>
          </cell>
          <cell r="B604" t="str">
            <v>txc</v>
          </cell>
        </row>
        <row r="605">
          <cell r="A605" t="str">
            <v>txc-</v>
          </cell>
          <cell r="B605" t="str">
            <v>txc</v>
          </cell>
        </row>
        <row r="606">
          <cell r="A606" t="str">
            <v>txc-</v>
          </cell>
          <cell r="B606" t="str">
            <v>txc</v>
          </cell>
        </row>
        <row r="607">
          <cell r="A607" t="str">
            <v>txc-</v>
          </cell>
          <cell r="B607" t="str">
            <v>txc</v>
          </cell>
        </row>
        <row r="608">
          <cell r="A608" t="str">
            <v>txc-</v>
          </cell>
          <cell r="B608" t="str">
            <v>txc</v>
          </cell>
        </row>
        <row r="609">
          <cell r="A609" t="str">
            <v>txc-</v>
          </cell>
          <cell r="B609" t="str">
            <v>txc</v>
          </cell>
        </row>
        <row r="610">
          <cell r="A610" t="str">
            <v>txc-</v>
          </cell>
          <cell r="B610" t="str">
            <v>txc</v>
          </cell>
        </row>
        <row r="611">
          <cell r="A611" t="str">
            <v>txc-</v>
          </cell>
          <cell r="B611" t="str">
            <v>txc</v>
          </cell>
        </row>
        <row r="612">
          <cell r="A612" t="str">
            <v>txc-</v>
          </cell>
          <cell r="B612" t="str">
            <v>txc</v>
          </cell>
        </row>
        <row r="613">
          <cell r="A613" t="str">
            <v>txc-</v>
          </cell>
          <cell r="B613" t="str">
            <v>txc</v>
          </cell>
        </row>
        <row r="614">
          <cell r="A614" t="str">
            <v>txc-</v>
          </cell>
          <cell r="B614" t="str">
            <v>txc</v>
          </cell>
        </row>
        <row r="615">
          <cell r="A615" t="str">
            <v>txc-</v>
          </cell>
          <cell r="B615" t="str">
            <v>txc</v>
          </cell>
        </row>
        <row r="616">
          <cell r="A616" t="str">
            <v>txc-</v>
          </cell>
          <cell r="B616" t="str">
            <v>txc</v>
          </cell>
        </row>
        <row r="617">
          <cell r="A617" t="str">
            <v>txc-</v>
          </cell>
          <cell r="B617" t="str">
            <v>txc</v>
          </cell>
        </row>
        <row r="618">
          <cell r="A618" t="str">
            <v>txc-</v>
          </cell>
          <cell r="B618" t="str">
            <v>txc</v>
          </cell>
        </row>
        <row r="619">
          <cell r="A619" t="str">
            <v>txc-</v>
          </cell>
          <cell r="B619" t="str">
            <v>txc</v>
          </cell>
        </row>
        <row r="620">
          <cell r="A620" t="str">
            <v>txc-</v>
          </cell>
          <cell r="B620" t="str">
            <v>txc</v>
          </cell>
        </row>
        <row r="621">
          <cell r="A621" t="str">
            <v>txc-</v>
          </cell>
          <cell r="B621" t="str">
            <v>txc</v>
          </cell>
        </row>
        <row r="622">
          <cell r="A622" t="str">
            <v>txc-</v>
          </cell>
          <cell r="B622" t="str">
            <v>txc</v>
          </cell>
        </row>
        <row r="623">
          <cell r="A623" t="str">
            <v>txc-</v>
          </cell>
          <cell r="B623" t="str">
            <v>txc</v>
          </cell>
        </row>
        <row r="624">
          <cell r="A624" t="str">
            <v>txc-</v>
          </cell>
          <cell r="B624" t="str">
            <v>txc</v>
          </cell>
        </row>
        <row r="625">
          <cell r="A625" t="str">
            <v>txc-</v>
          </cell>
          <cell r="B625" t="str">
            <v>txc</v>
          </cell>
        </row>
        <row r="626">
          <cell r="A626" t="str">
            <v>txc-</v>
          </cell>
          <cell r="B626" t="str">
            <v>txc</v>
          </cell>
        </row>
        <row r="627">
          <cell r="A627" t="str">
            <v>txc-</v>
          </cell>
          <cell r="B627" t="str">
            <v>txc</v>
          </cell>
        </row>
        <row r="628">
          <cell r="A628" t="str">
            <v>txc-</v>
          </cell>
          <cell r="B628" t="str">
            <v>txc</v>
          </cell>
        </row>
        <row r="629">
          <cell r="A629" t="str">
            <v>txc-</v>
          </cell>
          <cell r="B629" t="str">
            <v>txc</v>
          </cell>
        </row>
        <row r="630">
          <cell r="A630" t="str">
            <v>txc-</v>
          </cell>
          <cell r="B630" t="str">
            <v>txc</v>
          </cell>
        </row>
        <row r="631">
          <cell r="A631" t="str">
            <v>txc-</v>
          </cell>
          <cell r="B631" t="str">
            <v>txc</v>
          </cell>
        </row>
        <row r="632">
          <cell r="A632" t="str">
            <v>txc-</v>
          </cell>
          <cell r="B632" t="str">
            <v>txc</v>
          </cell>
        </row>
        <row r="633">
          <cell r="A633" t="str">
            <v>txc-</v>
          </cell>
          <cell r="B633" t="str">
            <v>txc</v>
          </cell>
        </row>
        <row r="634">
          <cell r="A634" t="str">
            <v>txc-</v>
          </cell>
          <cell r="B634" t="str">
            <v>txc</v>
          </cell>
        </row>
        <row r="635">
          <cell r="A635" t="str">
            <v>txc-</v>
          </cell>
          <cell r="B635" t="str">
            <v>txc</v>
          </cell>
        </row>
        <row r="636">
          <cell r="A636" t="str">
            <v>txc-</v>
          </cell>
          <cell r="B636" t="str">
            <v>txc</v>
          </cell>
        </row>
        <row r="637">
          <cell r="A637" t="str">
            <v>txc-</v>
          </cell>
          <cell r="B637" t="str">
            <v>txc</v>
          </cell>
        </row>
        <row r="638">
          <cell r="A638" t="str">
            <v>txc-</v>
          </cell>
          <cell r="B638" t="str">
            <v>txc</v>
          </cell>
        </row>
        <row r="639">
          <cell r="A639" t="str">
            <v>txc-</v>
          </cell>
          <cell r="B639" t="str">
            <v>txc</v>
          </cell>
        </row>
        <row r="640">
          <cell r="A640" t="str">
            <v>txc-</v>
          </cell>
          <cell r="B640" t="str">
            <v>txc</v>
          </cell>
        </row>
        <row r="641">
          <cell r="A641" t="str">
            <v>txc-</v>
          </cell>
          <cell r="B641" t="str">
            <v>txc</v>
          </cell>
        </row>
        <row r="642">
          <cell r="A642" t="str">
            <v>txc-</v>
          </cell>
          <cell r="B642" t="str">
            <v>txc</v>
          </cell>
        </row>
        <row r="643">
          <cell r="A643" t="str">
            <v>txc-</v>
          </cell>
          <cell r="B643" t="str">
            <v>txc</v>
          </cell>
        </row>
        <row r="644">
          <cell r="A644" t="str">
            <v>txc-</v>
          </cell>
          <cell r="B644" t="str">
            <v>txc</v>
          </cell>
        </row>
        <row r="645">
          <cell r="A645" t="str">
            <v>txc-</v>
          </cell>
          <cell r="B645" t="str">
            <v>txc</v>
          </cell>
        </row>
        <row r="646">
          <cell r="A646" t="str">
            <v>txc-</v>
          </cell>
          <cell r="B646" t="str">
            <v>txc</v>
          </cell>
        </row>
        <row r="647">
          <cell r="A647" t="str">
            <v>txc-</v>
          </cell>
          <cell r="B647" t="str">
            <v>txc</v>
          </cell>
        </row>
        <row r="648">
          <cell r="A648" t="str">
            <v>txc-</v>
          </cell>
          <cell r="B648" t="str">
            <v>txc</v>
          </cell>
        </row>
        <row r="649">
          <cell r="A649" t="str">
            <v>txc-</v>
          </cell>
          <cell r="B649" t="str">
            <v>txc</v>
          </cell>
        </row>
        <row r="650">
          <cell r="A650" t="str">
            <v>txc-</v>
          </cell>
          <cell r="B650" t="str">
            <v>txc</v>
          </cell>
        </row>
        <row r="651">
          <cell r="A651" t="str">
            <v>txc-</v>
          </cell>
          <cell r="B651" t="str">
            <v>txc</v>
          </cell>
        </row>
        <row r="652">
          <cell r="A652" t="str">
            <v>txc-</v>
          </cell>
          <cell r="B652" t="str">
            <v>txc</v>
          </cell>
        </row>
        <row r="653">
          <cell r="A653" t="str">
            <v>txc-</v>
          </cell>
          <cell r="B653" t="str">
            <v>txc</v>
          </cell>
        </row>
        <row r="654">
          <cell r="A654" t="str">
            <v>txc-</v>
          </cell>
          <cell r="B654" t="str">
            <v>txc</v>
          </cell>
        </row>
        <row r="655">
          <cell r="A655" t="str">
            <v>txc-</v>
          </cell>
          <cell r="B655" t="str">
            <v>txc</v>
          </cell>
        </row>
        <row r="656">
          <cell r="A656" t="str">
            <v>txc-</v>
          </cell>
          <cell r="B656" t="str">
            <v>txc</v>
          </cell>
        </row>
        <row r="657">
          <cell r="A657" t="str">
            <v>txc-</v>
          </cell>
          <cell r="B657" t="str">
            <v>txc</v>
          </cell>
        </row>
        <row r="658">
          <cell r="A658" t="str">
            <v>txc-</v>
          </cell>
          <cell r="B658" t="str">
            <v>txc</v>
          </cell>
        </row>
        <row r="659">
          <cell r="A659" t="str">
            <v>txc-</v>
          </cell>
          <cell r="B659" t="str">
            <v>txc</v>
          </cell>
        </row>
        <row r="660">
          <cell r="A660" t="str">
            <v>txc-</v>
          </cell>
          <cell r="B660" t="str">
            <v>txc</v>
          </cell>
        </row>
        <row r="661">
          <cell r="A661" t="str">
            <v>txc-</v>
          </cell>
          <cell r="B661" t="str">
            <v>txc</v>
          </cell>
        </row>
        <row r="662">
          <cell r="A662" t="str">
            <v>txc-</v>
          </cell>
          <cell r="B662" t="str">
            <v>txc</v>
          </cell>
        </row>
        <row r="663">
          <cell r="A663" t="str">
            <v>txc-</v>
          </cell>
          <cell r="B663" t="str">
            <v>txc</v>
          </cell>
        </row>
        <row r="664">
          <cell r="A664" t="str">
            <v>txc-</v>
          </cell>
          <cell r="B664" t="str">
            <v>txc</v>
          </cell>
        </row>
        <row r="665">
          <cell r="A665" t="str">
            <v>txc-</v>
          </cell>
          <cell r="B665" t="str">
            <v>txc</v>
          </cell>
        </row>
        <row r="666">
          <cell r="A666" t="str">
            <v>txc-</v>
          </cell>
          <cell r="B666" t="str">
            <v>txc</v>
          </cell>
        </row>
        <row r="667">
          <cell r="A667" t="str">
            <v>txc-</v>
          </cell>
          <cell r="B667" t="str">
            <v>txc</v>
          </cell>
        </row>
        <row r="668">
          <cell r="A668" t="str">
            <v>txc-</v>
          </cell>
          <cell r="B668" t="str">
            <v>txc</v>
          </cell>
        </row>
        <row r="669">
          <cell r="A669" t="str">
            <v>txc-</v>
          </cell>
          <cell r="B669" t="str">
            <v>txc</v>
          </cell>
        </row>
        <row r="670">
          <cell r="A670" t="str">
            <v>txc-</v>
          </cell>
          <cell r="B670" t="str">
            <v>txc</v>
          </cell>
        </row>
        <row r="671">
          <cell r="A671" t="str">
            <v>txc-</v>
          </cell>
          <cell r="B671" t="str">
            <v>txc</v>
          </cell>
        </row>
        <row r="672">
          <cell r="A672" t="str">
            <v>txc-</v>
          </cell>
          <cell r="B672" t="str">
            <v>txc</v>
          </cell>
        </row>
        <row r="673">
          <cell r="A673" t="str">
            <v>txc-</v>
          </cell>
          <cell r="B673" t="str">
            <v>txc</v>
          </cell>
        </row>
        <row r="674">
          <cell r="A674" t="str">
            <v>txc-</v>
          </cell>
          <cell r="B674" t="str">
            <v>txc</v>
          </cell>
        </row>
        <row r="675">
          <cell r="A675" t="str">
            <v>txc-</v>
          </cell>
          <cell r="B675" t="str">
            <v>txc</v>
          </cell>
        </row>
        <row r="676">
          <cell r="A676" t="str">
            <v>txc-</v>
          </cell>
          <cell r="B676" t="str">
            <v>txc</v>
          </cell>
        </row>
        <row r="677">
          <cell r="A677" t="str">
            <v>txc-</v>
          </cell>
          <cell r="B677" t="str">
            <v>txc</v>
          </cell>
        </row>
        <row r="678">
          <cell r="A678" t="str">
            <v>txc-</v>
          </cell>
          <cell r="B678" t="str">
            <v>txc</v>
          </cell>
        </row>
        <row r="679">
          <cell r="A679" t="str">
            <v>txc-</v>
          </cell>
          <cell r="B679" t="str">
            <v>txc</v>
          </cell>
        </row>
        <row r="680">
          <cell r="A680" t="str">
            <v>txc-</v>
          </cell>
          <cell r="B680" t="str">
            <v>txc</v>
          </cell>
        </row>
        <row r="681">
          <cell r="A681" t="str">
            <v>txc-</v>
          </cell>
          <cell r="B681" t="str">
            <v>txc</v>
          </cell>
        </row>
        <row r="682">
          <cell r="A682" t="str">
            <v>txc-</v>
          </cell>
          <cell r="B682" t="str">
            <v>txc</v>
          </cell>
        </row>
        <row r="683">
          <cell r="A683" t="str">
            <v>txc-</v>
          </cell>
          <cell r="B683" t="str">
            <v>txc</v>
          </cell>
        </row>
        <row r="684">
          <cell r="A684" t="str">
            <v>txc-</v>
          </cell>
          <cell r="B684" t="str">
            <v>txc</v>
          </cell>
        </row>
        <row r="685">
          <cell r="A685" t="str">
            <v>txc-</v>
          </cell>
          <cell r="B685" t="str">
            <v>txc</v>
          </cell>
        </row>
        <row r="686">
          <cell r="A686" t="str">
            <v>txc-</v>
          </cell>
          <cell r="B686" t="str">
            <v>txc</v>
          </cell>
        </row>
        <row r="687">
          <cell r="A687" t="str">
            <v>txc-</v>
          </cell>
          <cell r="B687" t="str">
            <v>txc</v>
          </cell>
        </row>
        <row r="688">
          <cell r="A688" t="str">
            <v>txc-</v>
          </cell>
          <cell r="B688" t="str">
            <v>txc</v>
          </cell>
        </row>
        <row r="689">
          <cell r="A689" t="str">
            <v>txc-</v>
          </cell>
          <cell r="B689" t="str">
            <v>txc</v>
          </cell>
        </row>
        <row r="690">
          <cell r="A690" t="str">
            <v>txc-</v>
          </cell>
          <cell r="B690" t="str">
            <v>txc</v>
          </cell>
        </row>
        <row r="691">
          <cell r="A691" t="str">
            <v>txc-</v>
          </cell>
          <cell r="B691" t="str">
            <v>txc</v>
          </cell>
        </row>
        <row r="692">
          <cell r="A692" t="str">
            <v>txc-</v>
          </cell>
          <cell r="B692" t="str">
            <v>txc</v>
          </cell>
        </row>
        <row r="693">
          <cell r="A693" t="str">
            <v>txc-</v>
          </cell>
          <cell r="B693" t="str">
            <v>txc</v>
          </cell>
        </row>
        <row r="694">
          <cell r="A694" t="str">
            <v>txc-</v>
          </cell>
          <cell r="B694" t="str">
            <v>txc</v>
          </cell>
        </row>
        <row r="695">
          <cell r="A695" t="str">
            <v>txc-</v>
          </cell>
          <cell r="B695" t="str">
            <v>txc</v>
          </cell>
        </row>
        <row r="696">
          <cell r="A696" t="str">
            <v>txc-</v>
          </cell>
          <cell r="B696" t="str">
            <v>txc</v>
          </cell>
        </row>
        <row r="697">
          <cell r="A697" t="str">
            <v>txc-</v>
          </cell>
          <cell r="B697" t="str">
            <v>txc</v>
          </cell>
        </row>
        <row r="698">
          <cell r="A698" t="str">
            <v>txc-</v>
          </cell>
          <cell r="B698" t="str">
            <v>txc</v>
          </cell>
        </row>
        <row r="699">
          <cell r="A699" t="str">
            <v>txc-</v>
          </cell>
          <cell r="B699" t="str">
            <v>txc</v>
          </cell>
        </row>
        <row r="700">
          <cell r="A700" t="str">
            <v>txc-</v>
          </cell>
          <cell r="B700" t="str">
            <v>txc</v>
          </cell>
        </row>
        <row r="701">
          <cell r="A701" t="str">
            <v>txc-</v>
          </cell>
          <cell r="B701" t="str">
            <v>txc</v>
          </cell>
        </row>
        <row r="702">
          <cell r="A702" t="str">
            <v>txc-</v>
          </cell>
          <cell r="B702" t="str">
            <v>txc</v>
          </cell>
        </row>
        <row r="703">
          <cell r="A703" t="str">
            <v>txc-</v>
          </cell>
          <cell r="B703" t="str">
            <v>txc</v>
          </cell>
        </row>
        <row r="704">
          <cell r="A704" t="str">
            <v>txc-</v>
          </cell>
          <cell r="B704" t="str">
            <v>txc</v>
          </cell>
        </row>
        <row r="705">
          <cell r="A705" t="str">
            <v>txc-</v>
          </cell>
          <cell r="B705" t="str">
            <v>txc</v>
          </cell>
        </row>
        <row r="706">
          <cell r="A706" t="str">
            <v>txc-</v>
          </cell>
          <cell r="B706" t="str">
            <v>txc</v>
          </cell>
        </row>
        <row r="707">
          <cell r="A707" t="str">
            <v>txc-</v>
          </cell>
          <cell r="B707" t="str">
            <v>txc</v>
          </cell>
        </row>
        <row r="708">
          <cell r="A708" t="str">
            <v>txc-</v>
          </cell>
          <cell r="B708" t="str">
            <v>txc</v>
          </cell>
        </row>
        <row r="709">
          <cell r="A709" t="str">
            <v>txc-</v>
          </cell>
          <cell r="B709" t="str">
            <v>txc</v>
          </cell>
        </row>
        <row r="710">
          <cell r="A710" t="str">
            <v>txc-</v>
          </cell>
          <cell r="B710" t="str">
            <v>txc</v>
          </cell>
        </row>
        <row r="711">
          <cell r="A711" t="str">
            <v>txc-</v>
          </cell>
          <cell r="B711" t="str">
            <v>txc</v>
          </cell>
        </row>
        <row r="712">
          <cell r="A712" t="str">
            <v>txc-</v>
          </cell>
          <cell r="B712" t="str">
            <v>txc</v>
          </cell>
        </row>
        <row r="713">
          <cell r="A713" t="str">
            <v>txc-</v>
          </cell>
          <cell r="B713" t="str">
            <v>txc</v>
          </cell>
        </row>
        <row r="714">
          <cell r="A714" t="str">
            <v>txc-</v>
          </cell>
          <cell r="B714" t="str">
            <v>txc</v>
          </cell>
        </row>
        <row r="715">
          <cell r="A715" t="str">
            <v>txc-</v>
          </cell>
          <cell r="B715" t="str">
            <v>txc</v>
          </cell>
        </row>
        <row r="716">
          <cell r="A716" t="str">
            <v>txc-</v>
          </cell>
          <cell r="B716" t="str">
            <v>txc</v>
          </cell>
        </row>
        <row r="717">
          <cell r="A717" t="str">
            <v>txc-</v>
          </cell>
          <cell r="B717" t="str">
            <v>txc</v>
          </cell>
        </row>
        <row r="718">
          <cell r="A718" t="str">
            <v>txc-</v>
          </cell>
          <cell r="B718" t="str">
            <v>txc</v>
          </cell>
        </row>
        <row r="719">
          <cell r="A719" t="str">
            <v>txc-</v>
          </cell>
          <cell r="B719" t="str">
            <v>txc</v>
          </cell>
        </row>
        <row r="720">
          <cell r="A720" t="str">
            <v>txc-</v>
          </cell>
          <cell r="B720" t="str">
            <v>txc</v>
          </cell>
        </row>
        <row r="721">
          <cell r="A721" t="str">
            <v>txc-</v>
          </cell>
          <cell r="B721" t="str">
            <v>txc</v>
          </cell>
        </row>
        <row r="722">
          <cell r="A722" t="str">
            <v>txc-</v>
          </cell>
          <cell r="B722" t="str">
            <v>txc</v>
          </cell>
        </row>
        <row r="723">
          <cell r="A723" t="str">
            <v>txc-</v>
          </cell>
          <cell r="B723" t="str">
            <v>txc</v>
          </cell>
        </row>
        <row r="724">
          <cell r="A724" t="str">
            <v>txc-</v>
          </cell>
          <cell r="B724" t="str">
            <v>txc</v>
          </cell>
        </row>
        <row r="725">
          <cell r="A725" t="str">
            <v>txc-</v>
          </cell>
          <cell r="B725" t="str">
            <v>txc</v>
          </cell>
        </row>
        <row r="726">
          <cell r="A726" t="str">
            <v>txc-</v>
          </cell>
          <cell r="B726" t="str">
            <v>txc</v>
          </cell>
        </row>
        <row r="727">
          <cell r="A727" t="str">
            <v>txc-</v>
          </cell>
          <cell r="B727" t="str">
            <v>txc</v>
          </cell>
        </row>
        <row r="728">
          <cell r="A728" t="str">
            <v>txc-</v>
          </cell>
          <cell r="B728" t="str">
            <v>txc</v>
          </cell>
        </row>
        <row r="729">
          <cell r="A729" t="str">
            <v>txc-</v>
          </cell>
          <cell r="B729" t="str">
            <v>txc</v>
          </cell>
        </row>
        <row r="730">
          <cell r="A730" t="str">
            <v>txc-</v>
          </cell>
          <cell r="B730" t="str">
            <v>txc</v>
          </cell>
        </row>
        <row r="731">
          <cell r="A731" t="str">
            <v>txc-</v>
          </cell>
          <cell r="B731" t="str">
            <v>txc</v>
          </cell>
        </row>
        <row r="732">
          <cell r="A732" t="str">
            <v>txc-</v>
          </cell>
          <cell r="B732" t="str">
            <v>txc</v>
          </cell>
        </row>
        <row r="733">
          <cell r="A733" t="str">
            <v>txc-</v>
          </cell>
          <cell r="B733" t="str">
            <v>txc</v>
          </cell>
        </row>
        <row r="734">
          <cell r="A734" t="str">
            <v>txc-</v>
          </cell>
          <cell r="B734" t="str">
            <v>txc</v>
          </cell>
        </row>
        <row r="735">
          <cell r="A735" t="str">
            <v>txc-</v>
          </cell>
          <cell r="B735" t="str">
            <v>txc</v>
          </cell>
        </row>
        <row r="736">
          <cell r="A736" t="str">
            <v>txc-</v>
          </cell>
          <cell r="B736" t="str">
            <v>txc</v>
          </cell>
        </row>
        <row r="737">
          <cell r="A737" t="str">
            <v>txc-</v>
          </cell>
          <cell r="B737" t="str">
            <v>txc</v>
          </cell>
        </row>
        <row r="738">
          <cell r="A738" t="str">
            <v>txc-</v>
          </cell>
          <cell r="B738" t="str">
            <v>txc</v>
          </cell>
        </row>
        <row r="739">
          <cell r="A739" t="str">
            <v>txc-</v>
          </cell>
          <cell r="B739" t="str">
            <v>txc</v>
          </cell>
        </row>
        <row r="740">
          <cell r="A740" t="str">
            <v>txc-</v>
          </cell>
          <cell r="B740" t="str">
            <v>txc</v>
          </cell>
        </row>
        <row r="741">
          <cell r="A741" t="str">
            <v>txc-</v>
          </cell>
          <cell r="B741" t="str">
            <v>txc</v>
          </cell>
        </row>
        <row r="742">
          <cell r="A742" t="str">
            <v>txc-</v>
          </cell>
          <cell r="B742" t="str">
            <v>txc</v>
          </cell>
        </row>
        <row r="743">
          <cell r="A743" t="str">
            <v>txc-</v>
          </cell>
          <cell r="B743" t="str">
            <v>txc</v>
          </cell>
        </row>
        <row r="744">
          <cell r="A744" t="str">
            <v>txc-</v>
          </cell>
          <cell r="B744" t="str">
            <v>txc</v>
          </cell>
        </row>
        <row r="745">
          <cell r="A745" t="str">
            <v>txc-</v>
          </cell>
          <cell r="B745" t="str">
            <v>txc</v>
          </cell>
        </row>
        <row r="746">
          <cell r="A746" t="str">
            <v>txc-</v>
          </cell>
          <cell r="B746" t="str">
            <v>txc</v>
          </cell>
        </row>
        <row r="747">
          <cell r="A747" t="str">
            <v>txc-</v>
          </cell>
          <cell r="B747" t="str">
            <v>txc</v>
          </cell>
        </row>
        <row r="748">
          <cell r="A748" t="str">
            <v>txc-</v>
          </cell>
          <cell r="B748" t="str">
            <v>txc</v>
          </cell>
        </row>
        <row r="749">
          <cell r="A749" t="str">
            <v>txc-</v>
          </cell>
          <cell r="B749" t="str">
            <v>txc</v>
          </cell>
        </row>
        <row r="750">
          <cell r="A750" t="str">
            <v>txc-</v>
          </cell>
          <cell r="B750" t="str">
            <v>txc</v>
          </cell>
        </row>
        <row r="751">
          <cell r="A751" t="str">
            <v>txc-</v>
          </cell>
          <cell r="B751" t="str">
            <v>txc</v>
          </cell>
        </row>
        <row r="752">
          <cell r="A752" t="str">
            <v>txc-</v>
          </cell>
          <cell r="B752" t="str">
            <v>txc</v>
          </cell>
        </row>
        <row r="753">
          <cell r="A753" t="str">
            <v>txc-</v>
          </cell>
          <cell r="B753" t="str">
            <v>txc</v>
          </cell>
        </row>
        <row r="754">
          <cell r="A754" t="str">
            <v>txc-</v>
          </cell>
          <cell r="B754" t="str">
            <v>txc</v>
          </cell>
        </row>
        <row r="755">
          <cell r="A755" t="str">
            <v>txc-</v>
          </cell>
          <cell r="B755" t="str">
            <v>txc</v>
          </cell>
        </row>
        <row r="756">
          <cell r="A756" t="str">
            <v>txc-</v>
          </cell>
          <cell r="B756" t="str">
            <v>txc</v>
          </cell>
        </row>
        <row r="757">
          <cell r="A757" t="str">
            <v>txc-</v>
          </cell>
          <cell r="B757" t="str">
            <v>txc</v>
          </cell>
        </row>
        <row r="758">
          <cell r="A758" t="str">
            <v>txc-</v>
          </cell>
          <cell r="B758" t="str">
            <v>txc</v>
          </cell>
        </row>
        <row r="759">
          <cell r="A759" t="str">
            <v>txc-</v>
          </cell>
          <cell r="B759" t="str">
            <v>txc</v>
          </cell>
        </row>
        <row r="760">
          <cell r="A760" t="str">
            <v>txc-</v>
          </cell>
          <cell r="B760" t="str">
            <v>txc</v>
          </cell>
        </row>
        <row r="761">
          <cell r="A761" t="str">
            <v>txc-</v>
          </cell>
          <cell r="B761" t="str">
            <v>txc</v>
          </cell>
        </row>
        <row r="762">
          <cell r="A762" t="str">
            <v>txc-</v>
          </cell>
          <cell r="B762" t="str">
            <v>txc</v>
          </cell>
        </row>
        <row r="763">
          <cell r="A763" t="str">
            <v>txc-</v>
          </cell>
          <cell r="B763" t="str">
            <v>txc</v>
          </cell>
        </row>
        <row r="764">
          <cell r="A764" t="str">
            <v>txc-</v>
          </cell>
          <cell r="B764" t="str">
            <v>txc</v>
          </cell>
        </row>
        <row r="765">
          <cell r="A765" t="str">
            <v>txc-</v>
          </cell>
          <cell r="B765" t="str">
            <v>txc</v>
          </cell>
        </row>
        <row r="766">
          <cell r="A766" t="str">
            <v>txc-</v>
          </cell>
          <cell r="B766" t="str">
            <v>txc</v>
          </cell>
        </row>
        <row r="767">
          <cell r="A767" t="str">
            <v>txc-</v>
          </cell>
          <cell r="B767" t="str">
            <v>txc</v>
          </cell>
        </row>
        <row r="768">
          <cell r="A768" t="str">
            <v>txc-</v>
          </cell>
          <cell r="B768" t="str">
            <v>txc</v>
          </cell>
        </row>
        <row r="769">
          <cell r="A769" t="str">
            <v>txc-</v>
          </cell>
          <cell r="B769" t="str">
            <v>txc</v>
          </cell>
        </row>
        <row r="770">
          <cell r="A770" t="str">
            <v>txc-</v>
          </cell>
          <cell r="B770" t="str">
            <v>txc</v>
          </cell>
        </row>
        <row r="771">
          <cell r="A771" t="str">
            <v>txc-</v>
          </cell>
          <cell r="B771" t="str">
            <v>txc</v>
          </cell>
        </row>
        <row r="772">
          <cell r="A772" t="str">
            <v>txc-</v>
          </cell>
          <cell r="B772" t="str">
            <v>txc</v>
          </cell>
        </row>
        <row r="773">
          <cell r="A773" t="str">
            <v>txc-</v>
          </cell>
          <cell r="B773" t="str">
            <v>txc</v>
          </cell>
        </row>
        <row r="774">
          <cell r="A774" t="str">
            <v>txc-</v>
          </cell>
          <cell r="B774" t="str">
            <v>txc</v>
          </cell>
        </row>
        <row r="775">
          <cell r="A775" t="str">
            <v>txc-</v>
          </cell>
          <cell r="B775" t="str">
            <v>txc</v>
          </cell>
        </row>
        <row r="776">
          <cell r="A776" t="str">
            <v>txc-</v>
          </cell>
          <cell r="B776" t="str">
            <v>txc</v>
          </cell>
        </row>
        <row r="777">
          <cell r="A777" t="str">
            <v>txc-</v>
          </cell>
          <cell r="B777" t="str">
            <v>txc</v>
          </cell>
        </row>
        <row r="778">
          <cell r="A778" t="str">
            <v>txc-</v>
          </cell>
          <cell r="B778" t="str">
            <v>txc</v>
          </cell>
        </row>
        <row r="779">
          <cell r="A779" t="str">
            <v>txc-</v>
          </cell>
          <cell r="B779" t="str">
            <v>txc</v>
          </cell>
        </row>
        <row r="780">
          <cell r="A780" t="str">
            <v>txc-</v>
          </cell>
          <cell r="B780" t="str">
            <v>txc</v>
          </cell>
        </row>
        <row r="781">
          <cell r="A781" t="str">
            <v>txc-</v>
          </cell>
          <cell r="B781" t="str">
            <v>txc</v>
          </cell>
        </row>
        <row r="782">
          <cell r="A782" t="str">
            <v>txc-</v>
          </cell>
          <cell r="B782" t="str">
            <v>txc</v>
          </cell>
        </row>
        <row r="783">
          <cell r="A783" t="str">
            <v>txc-</v>
          </cell>
          <cell r="B783" t="str">
            <v>txc</v>
          </cell>
        </row>
        <row r="784">
          <cell r="A784" t="str">
            <v>txc-</v>
          </cell>
          <cell r="B784" t="str">
            <v>txc</v>
          </cell>
        </row>
        <row r="785">
          <cell r="A785" t="str">
            <v>txc-</v>
          </cell>
          <cell r="B785" t="str">
            <v>txc</v>
          </cell>
        </row>
        <row r="786">
          <cell r="A786" t="str">
            <v>txc-</v>
          </cell>
          <cell r="B786" t="str">
            <v>txc</v>
          </cell>
        </row>
        <row r="787">
          <cell r="A787" t="str">
            <v>txc-</v>
          </cell>
          <cell r="B787" t="str">
            <v>txc</v>
          </cell>
        </row>
        <row r="788">
          <cell r="A788" t="str">
            <v>txc-</v>
          </cell>
          <cell r="B788" t="str">
            <v>txc</v>
          </cell>
        </row>
        <row r="789">
          <cell r="A789" t="str">
            <v>txc-</v>
          </cell>
          <cell r="B789" t="str">
            <v>txc</v>
          </cell>
        </row>
        <row r="790">
          <cell r="A790" t="str">
            <v>txc-</v>
          </cell>
          <cell r="B790" t="str">
            <v>txc</v>
          </cell>
        </row>
        <row r="791">
          <cell r="A791" t="str">
            <v>txc-</v>
          </cell>
          <cell r="B791" t="str">
            <v>txc</v>
          </cell>
        </row>
        <row r="792">
          <cell r="A792" t="str">
            <v>txc-</v>
          </cell>
          <cell r="B792" t="str">
            <v>txc</v>
          </cell>
        </row>
        <row r="793">
          <cell r="A793" t="str">
            <v>txc-</v>
          </cell>
          <cell r="B793" t="str">
            <v>txc</v>
          </cell>
        </row>
        <row r="794">
          <cell r="A794" t="str">
            <v>txc-</v>
          </cell>
          <cell r="B794" t="str">
            <v>txc</v>
          </cell>
        </row>
        <row r="795">
          <cell r="A795" t="str">
            <v>txc-</v>
          </cell>
          <cell r="B795" t="str">
            <v>txc</v>
          </cell>
        </row>
        <row r="796">
          <cell r="A796" t="str">
            <v>txc-</v>
          </cell>
          <cell r="B796" t="str">
            <v>txc</v>
          </cell>
        </row>
        <row r="797">
          <cell r="A797" t="str">
            <v>txc-</v>
          </cell>
          <cell r="B797" t="str">
            <v>txc</v>
          </cell>
        </row>
        <row r="798">
          <cell r="A798" t="str">
            <v>txc-</v>
          </cell>
          <cell r="B798" t="str">
            <v>txc</v>
          </cell>
        </row>
        <row r="799">
          <cell r="A799" t="str">
            <v>txc-</v>
          </cell>
          <cell r="B799" t="str">
            <v>txc</v>
          </cell>
        </row>
        <row r="800">
          <cell r="A800" t="str">
            <v>txc-</v>
          </cell>
          <cell r="B800" t="str">
            <v>txc</v>
          </cell>
        </row>
        <row r="801">
          <cell r="A801" t="str">
            <v>txc-</v>
          </cell>
          <cell r="B801" t="str">
            <v>txc</v>
          </cell>
        </row>
        <row r="802">
          <cell r="A802" t="str">
            <v>txc-</v>
          </cell>
          <cell r="B802" t="str">
            <v>txc</v>
          </cell>
        </row>
        <row r="803">
          <cell r="A803" t="str">
            <v>txc-</v>
          </cell>
          <cell r="B803" t="str">
            <v>txc</v>
          </cell>
        </row>
        <row r="804">
          <cell r="A804" t="str">
            <v>txc-</v>
          </cell>
          <cell r="B804" t="str">
            <v>txc</v>
          </cell>
        </row>
        <row r="805">
          <cell r="A805" t="str">
            <v>txc-</v>
          </cell>
          <cell r="B805" t="str">
            <v>txc</v>
          </cell>
        </row>
        <row r="806">
          <cell r="A806" t="str">
            <v>txc-</v>
          </cell>
          <cell r="B806" t="str">
            <v>txc</v>
          </cell>
        </row>
        <row r="807">
          <cell r="A807" t="str">
            <v>txc-</v>
          </cell>
          <cell r="B807" t="str">
            <v>txc</v>
          </cell>
        </row>
        <row r="808">
          <cell r="A808" t="str">
            <v>txc-</v>
          </cell>
          <cell r="B808" t="str">
            <v>txc</v>
          </cell>
        </row>
        <row r="809">
          <cell r="A809" t="str">
            <v>txc-</v>
          </cell>
          <cell r="B809" t="str">
            <v>txc</v>
          </cell>
        </row>
        <row r="810">
          <cell r="A810" t="str">
            <v>txc-</v>
          </cell>
          <cell r="B810" t="str">
            <v>txc</v>
          </cell>
        </row>
        <row r="811">
          <cell r="A811" t="str">
            <v>txc-</v>
          </cell>
          <cell r="B811" t="str">
            <v>txc</v>
          </cell>
        </row>
        <row r="812">
          <cell r="A812" t="str">
            <v>txc-</v>
          </cell>
          <cell r="B812" t="str">
            <v>txc</v>
          </cell>
        </row>
        <row r="813">
          <cell r="A813" t="str">
            <v>txc-</v>
          </cell>
          <cell r="B813" t="str">
            <v>txc</v>
          </cell>
        </row>
        <row r="814">
          <cell r="A814" t="str">
            <v>txc-</v>
          </cell>
          <cell r="B814" t="str">
            <v>txc</v>
          </cell>
        </row>
        <row r="815">
          <cell r="A815" t="str">
            <v>txc-</v>
          </cell>
          <cell r="B815" t="str">
            <v>txc</v>
          </cell>
        </row>
        <row r="816">
          <cell r="A816" t="str">
            <v>txc-</v>
          </cell>
          <cell r="B816" t="str">
            <v>txc</v>
          </cell>
        </row>
        <row r="817">
          <cell r="A817" t="str">
            <v>txc-</v>
          </cell>
          <cell r="B817" t="str">
            <v>txc</v>
          </cell>
        </row>
        <row r="818">
          <cell r="A818" t="str">
            <v>txc-</v>
          </cell>
          <cell r="B818" t="str">
            <v>txc</v>
          </cell>
        </row>
        <row r="819">
          <cell r="A819" t="str">
            <v>txc-</v>
          </cell>
          <cell r="B819" t="str">
            <v>txc</v>
          </cell>
        </row>
        <row r="820">
          <cell r="A820" t="str">
            <v>txc-</v>
          </cell>
          <cell r="B820" t="str">
            <v>txc</v>
          </cell>
        </row>
        <row r="821">
          <cell r="A821" t="str">
            <v>txc-</v>
          </cell>
          <cell r="B821" t="str">
            <v>txc</v>
          </cell>
        </row>
        <row r="822">
          <cell r="A822" t="str">
            <v>txc-</v>
          </cell>
          <cell r="B822" t="str">
            <v>txc</v>
          </cell>
        </row>
        <row r="823">
          <cell r="A823" t="str">
            <v>txc-</v>
          </cell>
          <cell r="B823" t="str">
            <v>txc</v>
          </cell>
        </row>
        <row r="824">
          <cell r="A824" t="str">
            <v>txc-</v>
          </cell>
          <cell r="B824" t="str">
            <v>txc</v>
          </cell>
        </row>
        <row r="825">
          <cell r="A825" t="str">
            <v>txc-</v>
          </cell>
          <cell r="B825" t="str">
            <v>txc</v>
          </cell>
        </row>
        <row r="826">
          <cell r="A826" t="str">
            <v>txc-</v>
          </cell>
          <cell r="B826" t="str">
            <v>txc</v>
          </cell>
        </row>
        <row r="827">
          <cell r="A827" t="str">
            <v>txc-</v>
          </cell>
          <cell r="B827" t="str">
            <v>txc</v>
          </cell>
        </row>
        <row r="828">
          <cell r="A828" t="str">
            <v>txc-</v>
          </cell>
          <cell r="B828" t="str">
            <v>txc</v>
          </cell>
        </row>
        <row r="829">
          <cell r="A829" t="str">
            <v>txc-</v>
          </cell>
          <cell r="B829" t="str">
            <v>txc</v>
          </cell>
        </row>
        <row r="830">
          <cell r="A830" t="str">
            <v>txc-</v>
          </cell>
          <cell r="B830" t="str">
            <v>txc</v>
          </cell>
        </row>
        <row r="831">
          <cell r="A831" t="str">
            <v>txc-</v>
          </cell>
          <cell r="B831" t="str">
            <v>txc</v>
          </cell>
        </row>
        <row r="832">
          <cell r="A832" t="str">
            <v>txc-</v>
          </cell>
          <cell r="B832" t="str">
            <v>txc</v>
          </cell>
        </row>
        <row r="833">
          <cell r="A833" t="str">
            <v>txc-</v>
          </cell>
          <cell r="B833" t="str">
            <v>txc</v>
          </cell>
        </row>
        <row r="834">
          <cell r="A834" t="str">
            <v>txc-</v>
          </cell>
          <cell r="B834" t="str">
            <v>txc</v>
          </cell>
        </row>
        <row r="835">
          <cell r="A835" t="str">
            <v>txc-</v>
          </cell>
          <cell r="B835" t="str">
            <v>txc</v>
          </cell>
        </row>
        <row r="836">
          <cell r="A836" t="str">
            <v>txc-</v>
          </cell>
          <cell r="B836" t="str">
            <v>txc</v>
          </cell>
        </row>
        <row r="837">
          <cell r="A837" t="str">
            <v>txc-</v>
          </cell>
          <cell r="B837" t="str">
            <v>txc</v>
          </cell>
        </row>
        <row r="838">
          <cell r="A838" t="str">
            <v>txc-</v>
          </cell>
          <cell r="B838" t="str">
            <v>txc</v>
          </cell>
        </row>
        <row r="839">
          <cell r="A839" t="str">
            <v>txc-</v>
          </cell>
          <cell r="B839" t="str">
            <v>txc</v>
          </cell>
        </row>
        <row r="840">
          <cell r="A840" t="str">
            <v>txc-</v>
          </cell>
          <cell r="B840" t="str">
            <v>txc</v>
          </cell>
        </row>
        <row r="841">
          <cell r="A841" t="str">
            <v>txc-</v>
          </cell>
          <cell r="B841" t="str">
            <v>txc</v>
          </cell>
        </row>
        <row r="842">
          <cell r="A842" t="str">
            <v>txc-</v>
          </cell>
          <cell r="B842" t="str">
            <v>txc</v>
          </cell>
        </row>
        <row r="843">
          <cell r="A843" t="str">
            <v>txc-</v>
          </cell>
          <cell r="B843" t="str">
            <v>txc</v>
          </cell>
        </row>
        <row r="844">
          <cell r="A844" t="str">
            <v>txc-</v>
          </cell>
          <cell r="B844" t="str">
            <v>txc</v>
          </cell>
        </row>
        <row r="845">
          <cell r="A845" t="str">
            <v>txc-</v>
          </cell>
          <cell r="B845" t="str">
            <v>txc</v>
          </cell>
        </row>
        <row r="846">
          <cell r="A846" t="str">
            <v>txc-</v>
          </cell>
          <cell r="B846" t="str">
            <v>txc</v>
          </cell>
        </row>
        <row r="847">
          <cell r="A847" t="str">
            <v>txc-</v>
          </cell>
          <cell r="B847" t="str">
            <v>txc</v>
          </cell>
        </row>
        <row r="848">
          <cell r="A848" t="str">
            <v>txc-</v>
          </cell>
          <cell r="B848" t="str">
            <v>txc</v>
          </cell>
        </row>
        <row r="849">
          <cell r="A849" t="str">
            <v>txc-</v>
          </cell>
          <cell r="B849" t="str">
            <v>txc</v>
          </cell>
        </row>
        <row r="850">
          <cell r="A850" t="str">
            <v>txc-</v>
          </cell>
          <cell r="B850" t="str">
            <v>txc</v>
          </cell>
        </row>
        <row r="851">
          <cell r="A851" t="str">
            <v>txc-</v>
          </cell>
          <cell r="B851" t="str">
            <v>txc</v>
          </cell>
        </row>
        <row r="852">
          <cell r="A852" t="str">
            <v>txc-</v>
          </cell>
          <cell r="B852" t="str">
            <v>txc</v>
          </cell>
        </row>
        <row r="853">
          <cell r="A853" t="str">
            <v>txc-</v>
          </cell>
          <cell r="B853" t="str">
            <v>txc</v>
          </cell>
        </row>
        <row r="854">
          <cell r="A854" t="str">
            <v>txc-</v>
          </cell>
          <cell r="B854" t="str">
            <v>txc</v>
          </cell>
        </row>
        <row r="855">
          <cell r="A855" t="str">
            <v>txc-</v>
          </cell>
          <cell r="B855" t="str">
            <v>txc</v>
          </cell>
        </row>
        <row r="856">
          <cell r="A856" t="str">
            <v>txc-</v>
          </cell>
          <cell r="B856" t="str">
            <v>txc</v>
          </cell>
        </row>
        <row r="857">
          <cell r="A857" t="str">
            <v>txc-</v>
          </cell>
          <cell r="B857" t="str">
            <v>txc</v>
          </cell>
        </row>
        <row r="858">
          <cell r="A858" t="str">
            <v>txc-</v>
          </cell>
          <cell r="B858" t="str">
            <v>txc</v>
          </cell>
        </row>
        <row r="859">
          <cell r="A859" t="str">
            <v>txc-</v>
          </cell>
          <cell r="B859" t="str">
            <v>txc</v>
          </cell>
        </row>
        <row r="860">
          <cell r="A860" t="str">
            <v>txc-</v>
          </cell>
          <cell r="B860" t="str">
            <v>txc</v>
          </cell>
        </row>
        <row r="861">
          <cell r="A861" t="str">
            <v>txc-</v>
          </cell>
          <cell r="B861" t="str">
            <v>txc</v>
          </cell>
        </row>
        <row r="862">
          <cell r="A862" t="str">
            <v>txc-</v>
          </cell>
          <cell r="B862" t="str">
            <v>txc</v>
          </cell>
        </row>
        <row r="863">
          <cell r="A863" t="str">
            <v>txc-</v>
          </cell>
          <cell r="B863" t="str">
            <v>txc</v>
          </cell>
        </row>
        <row r="864">
          <cell r="A864" t="str">
            <v>txc-</v>
          </cell>
          <cell r="B864" t="str">
            <v>txc</v>
          </cell>
        </row>
        <row r="865">
          <cell r="A865" t="str">
            <v>txc-</v>
          </cell>
          <cell r="B865" t="str">
            <v>txc</v>
          </cell>
        </row>
        <row r="866">
          <cell r="A866" t="str">
            <v>txc-</v>
          </cell>
          <cell r="B866" t="str">
            <v>txc</v>
          </cell>
        </row>
        <row r="867">
          <cell r="A867" t="str">
            <v>txc-</v>
          </cell>
          <cell r="B867" t="str">
            <v>txc</v>
          </cell>
        </row>
        <row r="868">
          <cell r="A868" t="str">
            <v>txc-</v>
          </cell>
          <cell r="B868" t="str">
            <v>txc</v>
          </cell>
        </row>
        <row r="869">
          <cell r="A869" t="str">
            <v>txc-</v>
          </cell>
          <cell r="B869" t="str">
            <v>txc</v>
          </cell>
        </row>
        <row r="870">
          <cell r="A870" t="str">
            <v>txc-</v>
          </cell>
          <cell r="B870" t="str">
            <v>txc</v>
          </cell>
        </row>
        <row r="871">
          <cell r="A871" t="str">
            <v>txc-</v>
          </cell>
          <cell r="B871" t="str">
            <v>txc</v>
          </cell>
        </row>
        <row r="872">
          <cell r="A872" t="str">
            <v>txc-</v>
          </cell>
          <cell r="B872" t="str">
            <v>txc</v>
          </cell>
        </row>
        <row r="873">
          <cell r="A873" t="str">
            <v>txc-</v>
          </cell>
          <cell r="B873" t="str">
            <v>txc</v>
          </cell>
        </row>
        <row r="874">
          <cell r="A874" t="str">
            <v>txc-</v>
          </cell>
          <cell r="B874" t="str">
            <v>txc</v>
          </cell>
        </row>
        <row r="875">
          <cell r="A875" t="str">
            <v>txc-</v>
          </cell>
          <cell r="B875" t="str">
            <v>txc</v>
          </cell>
        </row>
        <row r="876">
          <cell r="A876" t="str">
            <v>txc-</v>
          </cell>
          <cell r="B876" t="str">
            <v>txc</v>
          </cell>
        </row>
        <row r="877">
          <cell r="A877" t="str">
            <v>txc-</v>
          </cell>
          <cell r="B877" t="str">
            <v>txc</v>
          </cell>
        </row>
        <row r="878">
          <cell r="A878" t="str">
            <v>txc-</v>
          </cell>
          <cell r="B878" t="str">
            <v>txc</v>
          </cell>
        </row>
        <row r="879">
          <cell r="A879" t="str">
            <v>txc-</v>
          </cell>
          <cell r="B879" t="str">
            <v>txc</v>
          </cell>
        </row>
        <row r="880">
          <cell r="A880" t="str">
            <v>txc-</v>
          </cell>
          <cell r="B880" t="str">
            <v>txc</v>
          </cell>
        </row>
        <row r="881">
          <cell r="A881" t="str">
            <v>txc-</v>
          </cell>
          <cell r="B881" t="str">
            <v>txc</v>
          </cell>
        </row>
        <row r="882">
          <cell r="A882" t="str">
            <v>txc-</v>
          </cell>
          <cell r="B882" t="str">
            <v>txc</v>
          </cell>
        </row>
        <row r="883">
          <cell r="A883" t="str">
            <v>txc-</v>
          </cell>
          <cell r="B883" t="str">
            <v>txc</v>
          </cell>
        </row>
        <row r="884">
          <cell r="A884" t="str">
            <v>txc-</v>
          </cell>
          <cell r="B884" t="str">
            <v>txc</v>
          </cell>
        </row>
        <row r="885">
          <cell r="A885" t="str">
            <v>txc-</v>
          </cell>
          <cell r="B885" t="str">
            <v>txc</v>
          </cell>
        </row>
        <row r="886">
          <cell r="A886" t="str">
            <v>txc-</v>
          </cell>
          <cell r="B886" t="str">
            <v>txc</v>
          </cell>
        </row>
        <row r="887">
          <cell r="A887" t="str">
            <v>txc-</v>
          </cell>
          <cell r="B887" t="str">
            <v>txc</v>
          </cell>
        </row>
        <row r="888">
          <cell r="A888" t="str">
            <v>txc-</v>
          </cell>
          <cell r="B888" t="str">
            <v>txc</v>
          </cell>
        </row>
        <row r="889">
          <cell r="A889" t="str">
            <v>txc-</v>
          </cell>
          <cell r="B889" t="str">
            <v>txc</v>
          </cell>
        </row>
        <row r="890">
          <cell r="A890" t="str">
            <v>txc-</v>
          </cell>
          <cell r="B890" t="str">
            <v>txc</v>
          </cell>
        </row>
        <row r="891">
          <cell r="A891" t="str">
            <v>txc-</v>
          </cell>
          <cell r="B891" t="str">
            <v>txc</v>
          </cell>
        </row>
        <row r="892">
          <cell r="A892" t="str">
            <v>txc-</v>
          </cell>
          <cell r="B892" t="str">
            <v>txc</v>
          </cell>
        </row>
        <row r="893">
          <cell r="A893" t="str">
            <v>txc-</v>
          </cell>
          <cell r="B893" t="str">
            <v>txc</v>
          </cell>
        </row>
        <row r="894">
          <cell r="A894" t="str">
            <v>txc-</v>
          </cell>
          <cell r="B894" t="str">
            <v>txc</v>
          </cell>
        </row>
        <row r="895">
          <cell r="A895" t="str">
            <v>txc-</v>
          </cell>
          <cell r="B895" t="str">
            <v>txc</v>
          </cell>
        </row>
        <row r="896">
          <cell r="A896" t="str">
            <v>txc-</v>
          </cell>
          <cell r="B896" t="str">
            <v>txc</v>
          </cell>
        </row>
        <row r="897">
          <cell r="A897" t="str">
            <v>txc-</v>
          </cell>
          <cell r="B897" t="str">
            <v>txc</v>
          </cell>
        </row>
        <row r="898">
          <cell r="A898" t="str">
            <v>txc-</v>
          </cell>
          <cell r="B898" t="str">
            <v>txc</v>
          </cell>
        </row>
        <row r="899">
          <cell r="A899" t="str">
            <v>txc-</v>
          </cell>
          <cell r="B899" t="str">
            <v>txc</v>
          </cell>
        </row>
        <row r="900">
          <cell r="A900" t="str">
            <v>txc-</v>
          </cell>
          <cell r="B900" t="str">
            <v>txc</v>
          </cell>
        </row>
        <row r="901">
          <cell r="A901" t="str">
            <v>txc-</v>
          </cell>
          <cell r="B901" t="str">
            <v>txc</v>
          </cell>
        </row>
        <row r="902">
          <cell r="A902" t="str">
            <v>txc-</v>
          </cell>
          <cell r="B902" t="str">
            <v>txc</v>
          </cell>
        </row>
        <row r="903">
          <cell r="A903" t="str">
            <v>txc-</v>
          </cell>
          <cell r="B903" t="str">
            <v>txc</v>
          </cell>
        </row>
        <row r="904">
          <cell r="A904" t="str">
            <v>txc-</v>
          </cell>
          <cell r="B904" t="str">
            <v>txc</v>
          </cell>
        </row>
        <row r="905">
          <cell r="A905" t="str">
            <v>txc-</v>
          </cell>
          <cell r="B905" t="str">
            <v>txc</v>
          </cell>
        </row>
        <row r="906">
          <cell r="A906" t="str">
            <v>txc-</v>
          </cell>
          <cell r="B906" t="str">
            <v>txc</v>
          </cell>
        </row>
        <row r="907">
          <cell r="A907" t="str">
            <v>txc-</v>
          </cell>
          <cell r="B907" t="str">
            <v>txc</v>
          </cell>
        </row>
        <row r="908">
          <cell r="A908" t="str">
            <v>txc-</v>
          </cell>
          <cell r="B908" t="str">
            <v>txc</v>
          </cell>
        </row>
        <row r="909">
          <cell r="A909" t="str">
            <v>txc-</v>
          </cell>
          <cell r="B909" t="str">
            <v>txc</v>
          </cell>
        </row>
        <row r="910">
          <cell r="A910" t="str">
            <v>txc-</v>
          </cell>
          <cell r="B910" t="str">
            <v>txc</v>
          </cell>
        </row>
        <row r="911">
          <cell r="A911" t="str">
            <v>txc-</v>
          </cell>
          <cell r="B911" t="str">
            <v>txc</v>
          </cell>
        </row>
        <row r="912">
          <cell r="A912" t="str">
            <v>txc-</v>
          </cell>
          <cell r="B912" t="str">
            <v>txc</v>
          </cell>
        </row>
        <row r="913">
          <cell r="A913" t="str">
            <v>txc-</v>
          </cell>
          <cell r="B913" t="str">
            <v>txc</v>
          </cell>
        </row>
        <row r="914">
          <cell r="A914" t="str">
            <v>txc-</v>
          </cell>
          <cell r="B914" t="str">
            <v>txc</v>
          </cell>
        </row>
        <row r="915">
          <cell r="A915" t="str">
            <v>txc-</v>
          </cell>
          <cell r="B915" t="str">
            <v>txc</v>
          </cell>
        </row>
        <row r="916">
          <cell r="A916" t="str">
            <v>txc-</v>
          </cell>
          <cell r="B916" t="str">
            <v>txc</v>
          </cell>
        </row>
        <row r="917">
          <cell r="A917" t="str">
            <v>txc-</v>
          </cell>
          <cell r="B917" t="str">
            <v>txc</v>
          </cell>
        </row>
        <row r="918">
          <cell r="A918" t="str">
            <v>txc-</v>
          </cell>
          <cell r="B918" t="str">
            <v>txc</v>
          </cell>
        </row>
        <row r="919">
          <cell r="A919" t="str">
            <v>txc-</v>
          </cell>
          <cell r="B919" t="str">
            <v>txc</v>
          </cell>
        </row>
        <row r="920">
          <cell r="A920" t="str">
            <v>txc-</v>
          </cell>
          <cell r="B920" t="str">
            <v>txc</v>
          </cell>
        </row>
        <row r="921">
          <cell r="A921" t="str">
            <v>txc-</v>
          </cell>
          <cell r="B921" t="str">
            <v>txc</v>
          </cell>
        </row>
        <row r="922">
          <cell r="A922" t="str">
            <v>txc-</v>
          </cell>
          <cell r="B922" t="str">
            <v>txc</v>
          </cell>
        </row>
        <row r="923">
          <cell r="A923" t="str">
            <v>txc-</v>
          </cell>
          <cell r="B923" t="str">
            <v>txc</v>
          </cell>
        </row>
        <row r="924">
          <cell r="A924" t="str">
            <v>txc-</v>
          </cell>
          <cell r="B924" t="str">
            <v>txc</v>
          </cell>
        </row>
        <row r="925">
          <cell r="A925" t="str">
            <v>txc-</v>
          </cell>
          <cell r="B925" t="str">
            <v>txc</v>
          </cell>
        </row>
        <row r="926">
          <cell r="A926" t="str">
            <v>txc-</v>
          </cell>
          <cell r="B926" t="str">
            <v>txc</v>
          </cell>
        </row>
        <row r="927">
          <cell r="A927" t="str">
            <v>txc-</v>
          </cell>
          <cell r="B927" t="str">
            <v>txc</v>
          </cell>
        </row>
        <row r="928">
          <cell r="A928" t="str">
            <v>txc-</v>
          </cell>
          <cell r="B928" t="str">
            <v>txc</v>
          </cell>
        </row>
        <row r="929">
          <cell r="A929" t="str">
            <v>txc-</v>
          </cell>
          <cell r="B929" t="str">
            <v>txc</v>
          </cell>
        </row>
        <row r="930">
          <cell r="A930" t="str">
            <v>txc-</v>
          </cell>
          <cell r="B930" t="str">
            <v>txc</v>
          </cell>
        </row>
        <row r="931">
          <cell r="A931" t="str">
            <v>txc-</v>
          </cell>
          <cell r="B931" t="str">
            <v>txc</v>
          </cell>
        </row>
        <row r="932">
          <cell r="A932" t="str">
            <v>txc-</v>
          </cell>
          <cell r="B932" t="str">
            <v>txc</v>
          </cell>
        </row>
        <row r="933">
          <cell r="A933" t="str">
            <v>txc-</v>
          </cell>
          <cell r="B933" t="str">
            <v>txc</v>
          </cell>
        </row>
        <row r="934">
          <cell r="A934" t="str">
            <v>txc-</v>
          </cell>
          <cell r="B934" t="str">
            <v>txc</v>
          </cell>
        </row>
        <row r="935">
          <cell r="A935" t="str">
            <v>txc-</v>
          </cell>
          <cell r="B935" t="str">
            <v>txc</v>
          </cell>
        </row>
        <row r="936">
          <cell r="A936" t="str">
            <v>txc-</v>
          </cell>
          <cell r="B936" t="str">
            <v>txc</v>
          </cell>
        </row>
        <row r="937">
          <cell r="A937" t="str">
            <v>txc-</v>
          </cell>
          <cell r="B937" t="str">
            <v>txc</v>
          </cell>
        </row>
        <row r="938">
          <cell r="A938" t="str">
            <v>txc-</v>
          </cell>
          <cell r="B938" t="str">
            <v>txc</v>
          </cell>
        </row>
        <row r="939">
          <cell r="A939" t="str">
            <v>txc-</v>
          </cell>
          <cell r="B939" t="str">
            <v>txc</v>
          </cell>
        </row>
        <row r="940">
          <cell r="A940" t="str">
            <v>txc-</v>
          </cell>
          <cell r="B940" t="str">
            <v>txc</v>
          </cell>
        </row>
        <row r="941">
          <cell r="A941" t="str">
            <v>txc-</v>
          </cell>
          <cell r="B941" t="str">
            <v>txc</v>
          </cell>
        </row>
        <row r="942">
          <cell r="A942" t="str">
            <v>txc-</v>
          </cell>
          <cell r="B942" t="str">
            <v>txc</v>
          </cell>
        </row>
        <row r="943">
          <cell r="A943" t="str">
            <v>txc-</v>
          </cell>
          <cell r="B943" t="str">
            <v>txc</v>
          </cell>
        </row>
        <row r="944">
          <cell r="A944" t="str">
            <v>txc-</v>
          </cell>
          <cell r="B944" t="str">
            <v>txc</v>
          </cell>
        </row>
        <row r="945">
          <cell r="A945" t="str">
            <v>txc-</v>
          </cell>
          <cell r="B945" t="str">
            <v>txc</v>
          </cell>
        </row>
        <row r="946">
          <cell r="A946" t="str">
            <v>txc-</v>
          </cell>
          <cell r="B946" t="str">
            <v>txc</v>
          </cell>
        </row>
        <row r="947">
          <cell r="A947" t="str">
            <v>txc-</v>
          </cell>
          <cell r="B947" t="str">
            <v>txc</v>
          </cell>
        </row>
        <row r="948">
          <cell r="A948" t="str">
            <v>txc-</v>
          </cell>
          <cell r="B948" t="str">
            <v>txc</v>
          </cell>
        </row>
        <row r="949">
          <cell r="A949" t="str">
            <v>txc-</v>
          </cell>
          <cell r="B949" t="str">
            <v>txc</v>
          </cell>
        </row>
        <row r="950">
          <cell r="A950" t="str">
            <v>txc-</v>
          </cell>
          <cell r="B950" t="str">
            <v>txc</v>
          </cell>
        </row>
        <row r="951">
          <cell r="A951" t="str">
            <v>txc-</v>
          </cell>
          <cell r="B951" t="str">
            <v>txc</v>
          </cell>
        </row>
        <row r="952">
          <cell r="A952" t="str">
            <v>txc-</v>
          </cell>
          <cell r="B952" t="str">
            <v>txc</v>
          </cell>
        </row>
        <row r="953">
          <cell r="A953" t="str">
            <v>txc-</v>
          </cell>
          <cell r="B953" t="str">
            <v>txc</v>
          </cell>
        </row>
        <row r="954">
          <cell r="A954" t="str">
            <v>txc-</v>
          </cell>
          <cell r="B954" t="str">
            <v>txc</v>
          </cell>
        </row>
        <row r="955">
          <cell r="A955" t="str">
            <v>txc-</v>
          </cell>
          <cell r="B955" t="str">
            <v>txc</v>
          </cell>
        </row>
        <row r="956">
          <cell r="A956" t="str">
            <v>txc-</v>
          </cell>
          <cell r="B956" t="str">
            <v>txc</v>
          </cell>
        </row>
        <row r="957">
          <cell r="A957" t="str">
            <v>txc-</v>
          </cell>
          <cell r="B957" t="str">
            <v>txc</v>
          </cell>
        </row>
        <row r="958">
          <cell r="A958" t="str">
            <v>txc-</v>
          </cell>
          <cell r="B958" t="str">
            <v>txc</v>
          </cell>
        </row>
        <row r="959">
          <cell r="A959" t="str">
            <v>txc-</v>
          </cell>
          <cell r="B959" t="str">
            <v>txc</v>
          </cell>
        </row>
        <row r="960">
          <cell r="A960" t="str">
            <v>txc-</v>
          </cell>
          <cell r="B960" t="str">
            <v>txc</v>
          </cell>
        </row>
        <row r="961">
          <cell r="A961" t="str">
            <v>txc-</v>
          </cell>
          <cell r="B961" t="str">
            <v>txc</v>
          </cell>
        </row>
        <row r="962">
          <cell r="A962" t="str">
            <v>txc-</v>
          </cell>
          <cell r="B962" t="str">
            <v>txc</v>
          </cell>
        </row>
        <row r="963">
          <cell r="A963" t="str">
            <v>txc-</v>
          </cell>
          <cell r="B963" t="str">
            <v>txc</v>
          </cell>
        </row>
        <row r="964">
          <cell r="A964" t="str">
            <v>txc-</v>
          </cell>
          <cell r="B964" t="str">
            <v>txc</v>
          </cell>
        </row>
        <row r="965">
          <cell r="A965" t="str">
            <v>txc-</v>
          </cell>
          <cell r="B965" t="str">
            <v>txc</v>
          </cell>
        </row>
        <row r="966">
          <cell r="A966" t="str">
            <v>txc-</v>
          </cell>
          <cell r="B966" t="str">
            <v>txc</v>
          </cell>
        </row>
        <row r="967">
          <cell r="A967" t="str">
            <v>txc-</v>
          </cell>
          <cell r="B967" t="str">
            <v>txc</v>
          </cell>
        </row>
        <row r="968">
          <cell r="A968" t="str">
            <v>txc-</v>
          </cell>
          <cell r="B968" t="str">
            <v>txc</v>
          </cell>
        </row>
        <row r="969">
          <cell r="A969" t="str">
            <v>txc-</v>
          </cell>
          <cell r="B969" t="str">
            <v>txc</v>
          </cell>
        </row>
        <row r="970">
          <cell r="A970" t="str">
            <v>txc-</v>
          </cell>
          <cell r="B970" t="str">
            <v>txc</v>
          </cell>
        </row>
        <row r="971">
          <cell r="A971" t="str">
            <v>txc-</v>
          </cell>
          <cell r="B971" t="str">
            <v>txc</v>
          </cell>
        </row>
        <row r="972">
          <cell r="A972" t="str">
            <v>txc-</v>
          </cell>
          <cell r="B972" t="str">
            <v>txc</v>
          </cell>
        </row>
        <row r="973">
          <cell r="A973" t="str">
            <v>txc-</v>
          </cell>
          <cell r="B973" t="str">
            <v>txc</v>
          </cell>
        </row>
        <row r="974">
          <cell r="A974" t="str">
            <v>txc-</v>
          </cell>
          <cell r="B974" t="str">
            <v>txc</v>
          </cell>
        </row>
        <row r="975">
          <cell r="A975" t="str">
            <v>txc-</v>
          </cell>
          <cell r="B975" t="str">
            <v>txc</v>
          </cell>
        </row>
        <row r="976">
          <cell r="A976" t="str">
            <v>txc-</v>
          </cell>
          <cell r="B976" t="str">
            <v>txc</v>
          </cell>
        </row>
        <row r="977">
          <cell r="A977" t="str">
            <v>txc-</v>
          </cell>
          <cell r="B977" t="str">
            <v>txc</v>
          </cell>
        </row>
        <row r="978">
          <cell r="A978" t="str">
            <v>txc-</v>
          </cell>
          <cell r="B978" t="str">
            <v>txc</v>
          </cell>
        </row>
        <row r="979">
          <cell r="A979" t="str">
            <v>txc-</v>
          </cell>
          <cell r="B979" t="str">
            <v>txc</v>
          </cell>
        </row>
        <row r="980">
          <cell r="A980" t="str">
            <v>txc-</v>
          </cell>
          <cell r="B980" t="str">
            <v>txc</v>
          </cell>
        </row>
        <row r="981">
          <cell r="A981" t="str">
            <v>txc-</v>
          </cell>
          <cell r="B981" t="str">
            <v>txc</v>
          </cell>
        </row>
        <row r="982">
          <cell r="A982" t="str">
            <v>txc-</v>
          </cell>
          <cell r="B982" t="str">
            <v>txc</v>
          </cell>
        </row>
        <row r="983">
          <cell r="A983" t="str">
            <v>txc-</v>
          </cell>
          <cell r="B983" t="str">
            <v>txc</v>
          </cell>
        </row>
        <row r="984">
          <cell r="A984" t="str">
            <v>txc-</v>
          </cell>
          <cell r="B984" t="str">
            <v>txc</v>
          </cell>
        </row>
        <row r="985">
          <cell r="A985" t="str">
            <v>txc-</v>
          </cell>
          <cell r="B985" t="str">
            <v>txc</v>
          </cell>
        </row>
        <row r="986">
          <cell r="A986" t="str">
            <v>txc-</v>
          </cell>
          <cell r="B986" t="str">
            <v>txc</v>
          </cell>
        </row>
        <row r="987">
          <cell r="A987" t="str">
            <v>txc-</v>
          </cell>
          <cell r="B987" t="str">
            <v>txc</v>
          </cell>
        </row>
        <row r="988">
          <cell r="A988" t="str">
            <v>txc-</v>
          </cell>
          <cell r="B988" t="str">
            <v>txc</v>
          </cell>
        </row>
        <row r="989">
          <cell r="A989" t="str">
            <v>txc-</v>
          </cell>
          <cell r="B989" t="str">
            <v>txc</v>
          </cell>
        </row>
        <row r="990">
          <cell r="A990" t="str">
            <v>txc-</v>
          </cell>
          <cell r="B990" t="str">
            <v>txc</v>
          </cell>
        </row>
        <row r="991">
          <cell r="A991" t="str">
            <v>txc-</v>
          </cell>
          <cell r="B991" t="str">
            <v>txc</v>
          </cell>
        </row>
        <row r="992">
          <cell r="A992" t="str">
            <v>txc-</v>
          </cell>
          <cell r="B992" t="str">
            <v>txc</v>
          </cell>
        </row>
        <row r="993">
          <cell r="A993" t="str">
            <v>txc-</v>
          </cell>
          <cell r="B993" t="str">
            <v>txc</v>
          </cell>
        </row>
        <row r="994">
          <cell r="A994" t="str">
            <v>txc-</v>
          </cell>
          <cell r="B994" t="str">
            <v>txc</v>
          </cell>
        </row>
        <row r="995">
          <cell r="A995" t="str">
            <v>txc-</v>
          </cell>
          <cell r="B995" t="str">
            <v>txc</v>
          </cell>
        </row>
        <row r="996">
          <cell r="A996" t="str">
            <v>txc-</v>
          </cell>
          <cell r="B996" t="str">
            <v>txc</v>
          </cell>
        </row>
        <row r="997">
          <cell r="A997" t="str">
            <v>txc-</v>
          </cell>
          <cell r="B997" t="str">
            <v>txc</v>
          </cell>
        </row>
        <row r="998">
          <cell r="A998" t="str">
            <v>txc-</v>
          </cell>
          <cell r="B998" t="str">
            <v>txc</v>
          </cell>
        </row>
        <row r="999">
          <cell r="A999" t="str">
            <v>txc-</v>
          </cell>
          <cell r="B999" t="str">
            <v>txc</v>
          </cell>
        </row>
        <row r="1000">
          <cell r="A1000" t="str">
            <v>txc-</v>
          </cell>
          <cell r="B1000" t="str">
            <v>txc</v>
          </cell>
        </row>
        <row r="1001">
          <cell r="A1001" t="str">
            <v>txc-</v>
          </cell>
          <cell r="B1001" t="str">
            <v>txc</v>
          </cell>
        </row>
        <row r="1002">
          <cell r="A1002" t="str">
            <v>txc-</v>
          </cell>
          <cell r="B1002" t="str">
            <v>txc</v>
          </cell>
        </row>
        <row r="1003">
          <cell r="A1003" t="str">
            <v>txc-</v>
          </cell>
          <cell r="B1003" t="str">
            <v>txc</v>
          </cell>
        </row>
        <row r="1004">
          <cell r="A1004" t="str">
            <v>txc-</v>
          </cell>
          <cell r="B1004" t="str">
            <v>txc</v>
          </cell>
        </row>
        <row r="1005">
          <cell r="A1005" t="str">
            <v>txc-</v>
          </cell>
          <cell r="B1005" t="str">
            <v>txc</v>
          </cell>
        </row>
        <row r="1006">
          <cell r="A1006" t="str">
            <v>txc-</v>
          </cell>
          <cell r="B1006" t="str">
            <v>txc</v>
          </cell>
        </row>
        <row r="1007">
          <cell r="A1007" t="str">
            <v>txc-</v>
          </cell>
          <cell r="B1007" t="str">
            <v>txc</v>
          </cell>
        </row>
        <row r="1008">
          <cell r="A1008" t="str">
            <v>txc-</v>
          </cell>
          <cell r="B1008" t="str">
            <v>txc</v>
          </cell>
        </row>
        <row r="1009">
          <cell r="A1009" t="str">
            <v>txc-</v>
          </cell>
          <cell r="B1009" t="str">
            <v>txc</v>
          </cell>
        </row>
        <row r="1010">
          <cell r="A1010" t="str">
            <v>txc-</v>
          </cell>
          <cell r="B1010" t="str">
            <v>txc</v>
          </cell>
        </row>
        <row r="1011">
          <cell r="A1011" t="str">
            <v>txc-</v>
          </cell>
          <cell r="B1011" t="str">
            <v>txc</v>
          </cell>
        </row>
        <row r="1012">
          <cell r="A1012" t="str">
            <v>txc-</v>
          </cell>
          <cell r="B1012" t="str">
            <v>txc</v>
          </cell>
        </row>
        <row r="1013">
          <cell r="A1013" t="str">
            <v>txc-</v>
          </cell>
          <cell r="B1013" t="str">
            <v>txc</v>
          </cell>
        </row>
        <row r="1014">
          <cell r="A1014" t="str">
            <v>txc-</v>
          </cell>
          <cell r="B1014" t="str">
            <v>txc</v>
          </cell>
        </row>
        <row r="1015">
          <cell r="A1015" t="str">
            <v>txc-</v>
          </cell>
          <cell r="B1015" t="str">
            <v>txc</v>
          </cell>
        </row>
        <row r="1016">
          <cell r="A1016" t="str">
            <v>txc-</v>
          </cell>
          <cell r="B1016" t="str">
            <v>txc</v>
          </cell>
        </row>
        <row r="1017">
          <cell r="A1017" t="str">
            <v>txc-</v>
          </cell>
          <cell r="B1017" t="str">
            <v>txc</v>
          </cell>
        </row>
        <row r="1018">
          <cell r="A1018" t="str">
            <v>txc-</v>
          </cell>
          <cell r="B1018" t="str">
            <v>txc</v>
          </cell>
        </row>
        <row r="1019">
          <cell r="A1019" t="str">
            <v>txc-</v>
          </cell>
          <cell r="B1019" t="str">
            <v>txc</v>
          </cell>
        </row>
        <row r="1020">
          <cell r="A1020" t="str">
            <v>txc-</v>
          </cell>
          <cell r="B1020" t="str">
            <v>txc</v>
          </cell>
        </row>
        <row r="1021">
          <cell r="A1021" t="str">
            <v>txc-</v>
          </cell>
          <cell r="B1021" t="str">
            <v>txc</v>
          </cell>
        </row>
        <row r="1022">
          <cell r="A1022" t="str">
            <v>txc-</v>
          </cell>
          <cell r="B1022" t="str">
            <v>txc</v>
          </cell>
        </row>
        <row r="1023">
          <cell r="A1023" t="str">
            <v>txc-</v>
          </cell>
          <cell r="B1023" t="str">
            <v>txc</v>
          </cell>
        </row>
        <row r="1024">
          <cell r="A1024" t="str">
            <v>txc-</v>
          </cell>
          <cell r="B1024" t="str">
            <v>txc</v>
          </cell>
        </row>
        <row r="1025">
          <cell r="A1025" t="str">
            <v>txc-</v>
          </cell>
          <cell r="B1025" t="str">
            <v>txc</v>
          </cell>
        </row>
        <row r="1026">
          <cell r="A1026" t="str">
            <v>txc-</v>
          </cell>
          <cell r="B1026" t="str">
            <v>txc</v>
          </cell>
        </row>
        <row r="1027">
          <cell r="A1027" t="str">
            <v>txc-</v>
          </cell>
          <cell r="B1027" t="str">
            <v>txc</v>
          </cell>
        </row>
        <row r="1028">
          <cell r="A1028" t="str">
            <v>txc-</v>
          </cell>
          <cell r="B1028" t="str">
            <v>txc</v>
          </cell>
        </row>
        <row r="1029">
          <cell r="A1029" t="str">
            <v>txc-</v>
          </cell>
          <cell r="B1029" t="str">
            <v>txc</v>
          </cell>
        </row>
        <row r="1030">
          <cell r="A1030" t="str">
            <v>txc-</v>
          </cell>
          <cell r="B1030" t="str">
            <v>txc</v>
          </cell>
        </row>
        <row r="1031">
          <cell r="A1031" t="str">
            <v>txc-</v>
          </cell>
          <cell r="B1031" t="str">
            <v>txc</v>
          </cell>
        </row>
        <row r="1032">
          <cell r="A1032" t="str">
            <v>txc-</v>
          </cell>
          <cell r="B1032" t="str">
            <v>txc</v>
          </cell>
        </row>
        <row r="1033">
          <cell r="A1033" t="str">
            <v>txc-</v>
          </cell>
          <cell r="B1033" t="str">
            <v>txc</v>
          </cell>
        </row>
        <row r="1034">
          <cell r="A1034" t="str">
            <v>txc-</v>
          </cell>
          <cell r="B1034" t="str">
            <v>txc</v>
          </cell>
        </row>
        <row r="1035">
          <cell r="A1035" t="str">
            <v>txc-</v>
          </cell>
          <cell r="B1035" t="str">
            <v>txc</v>
          </cell>
        </row>
        <row r="1036">
          <cell r="A1036" t="str">
            <v>txc-</v>
          </cell>
          <cell r="B1036" t="str">
            <v>txc</v>
          </cell>
        </row>
        <row r="1037">
          <cell r="A1037" t="str">
            <v>txc-</v>
          </cell>
          <cell r="B1037" t="str">
            <v>txc</v>
          </cell>
        </row>
        <row r="1038">
          <cell r="A1038" t="str">
            <v>txc-</v>
          </cell>
          <cell r="B1038" t="str">
            <v>txc</v>
          </cell>
        </row>
        <row r="1039">
          <cell r="A1039" t="str">
            <v>txc-</v>
          </cell>
          <cell r="B1039" t="str">
            <v>txc</v>
          </cell>
        </row>
        <row r="1040">
          <cell r="A1040" t="str">
            <v>txc-</v>
          </cell>
          <cell r="B1040" t="str">
            <v>txc</v>
          </cell>
        </row>
        <row r="1041">
          <cell r="A1041" t="str">
            <v>txc-</v>
          </cell>
          <cell r="B1041" t="str">
            <v>txc</v>
          </cell>
        </row>
        <row r="1042">
          <cell r="A1042" t="str">
            <v>txc-</v>
          </cell>
          <cell r="B1042" t="str">
            <v>txc</v>
          </cell>
        </row>
        <row r="1043">
          <cell r="A1043" t="str">
            <v>txc-</v>
          </cell>
          <cell r="B1043" t="str">
            <v>txc</v>
          </cell>
        </row>
        <row r="1044">
          <cell r="A1044" t="str">
            <v>txc-</v>
          </cell>
          <cell r="B1044" t="str">
            <v>txc</v>
          </cell>
        </row>
        <row r="1045">
          <cell r="A1045" t="str">
            <v>txc-</v>
          </cell>
          <cell r="B1045" t="str">
            <v>txc</v>
          </cell>
        </row>
        <row r="1046">
          <cell r="A1046" t="str">
            <v>txc-</v>
          </cell>
          <cell r="B1046" t="str">
            <v>txc</v>
          </cell>
        </row>
        <row r="1047">
          <cell r="A1047" t="str">
            <v>txc-</v>
          </cell>
          <cell r="B1047" t="str">
            <v>txc</v>
          </cell>
        </row>
        <row r="1048">
          <cell r="A1048" t="str">
            <v>txc-</v>
          </cell>
          <cell r="B1048" t="str">
            <v>txc</v>
          </cell>
        </row>
        <row r="1049">
          <cell r="A1049" t="str">
            <v>txc-</v>
          </cell>
          <cell r="B1049" t="str">
            <v>txc</v>
          </cell>
        </row>
        <row r="1050">
          <cell r="A1050" t="str">
            <v>txc-</v>
          </cell>
          <cell r="B1050" t="str">
            <v>txc</v>
          </cell>
        </row>
        <row r="1051">
          <cell r="A1051" t="str">
            <v>txc-</v>
          </cell>
          <cell r="B1051" t="str">
            <v>txc</v>
          </cell>
        </row>
        <row r="1052">
          <cell r="A1052" t="str">
            <v>txc-</v>
          </cell>
          <cell r="B1052" t="str">
            <v>txc</v>
          </cell>
        </row>
        <row r="1053">
          <cell r="A1053" t="str">
            <v>txc-</v>
          </cell>
          <cell r="B1053" t="str">
            <v>txc</v>
          </cell>
        </row>
        <row r="1054">
          <cell r="A1054" t="str">
            <v>txc-</v>
          </cell>
          <cell r="B1054" t="str">
            <v>txc</v>
          </cell>
        </row>
        <row r="1055">
          <cell r="A1055" t="str">
            <v>txc-</v>
          </cell>
          <cell r="B1055" t="str">
            <v>txc</v>
          </cell>
        </row>
        <row r="1056">
          <cell r="A1056" t="str">
            <v>txc-</v>
          </cell>
          <cell r="B1056" t="str">
            <v>txc</v>
          </cell>
        </row>
        <row r="1057">
          <cell r="A1057" t="str">
            <v>txc-</v>
          </cell>
          <cell r="B1057" t="str">
            <v>txc</v>
          </cell>
        </row>
        <row r="1058">
          <cell r="A1058" t="str">
            <v>txc-</v>
          </cell>
          <cell r="B1058" t="str">
            <v>txc</v>
          </cell>
        </row>
        <row r="1059">
          <cell r="A1059" t="str">
            <v>txc-</v>
          </cell>
          <cell r="B1059" t="str">
            <v>txc</v>
          </cell>
        </row>
        <row r="1060">
          <cell r="A1060" t="str">
            <v>txc-</v>
          </cell>
          <cell r="B1060" t="str">
            <v>txc</v>
          </cell>
        </row>
        <row r="1061">
          <cell r="A1061" t="str">
            <v>txc-</v>
          </cell>
          <cell r="B1061" t="str">
            <v>txc</v>
          </cell>
        </row>
        <row r="1062">
          <cell r="A1062" t="str">
            <v>txc-</v>
          </cell>
          <cell r="B1062" t="str">
            <v>txc</v>
          </cell>
        </row>
        <row r="1063">
          <cell r="A1063" t="str">
            <v>txc-</v>
          </cell>
          <cell r="B1063" t="str">
            <v>txc</v>
          </cell>
        </row>
        <row r="1064">
          <cell r="A1064" t="str">
            <v>txc-</v>
          </cell>
          <cell r="B1064" t="str">
            <v>txc</v>
          </cell>
        </row>
        <row r="1065">
          <cell r="A1065" t="str">
            <v>txc-</v>
          </cell>
          <cell r="B1065" t="str">
            <v>txc</v>
          </cell>
        </row>
        <row r="1066">
          <cell r="A1066" t="str">
            <v>txc-</v>
          </cell>
          <cell r="B1066" t="str">
            <v>txc</v>
          </cell>
        </row>
        <row r="1067">
          <cell r="A1067" t="str">
            <v>txc-</v>
          </cell>
          <cell r="B1067" t="str">
            <v>txc</v>
          </cell>
        </row>
        <row r="1068">
          <cell r="A1068" t="str">
            <v>txc-</v>
          </cell>
          <cell r="B1068" t="str">
            <v>txc</v>
          </cell>
        </row>
        <row r="1069">
          <cell r="A1069" t="str">
            <v>txc-</v>
          </cell>
          <cell r="B1069" t="str">
            <v>txc</v>
          </cell>
        </row>
        <row r="1070">
          <cell r="A1070" t="str">
            <v>txc-</v>
          </cell>
          <cell r="B1070" t="str">
            <v>txc</v>
          </cell>
        </row>
        <row r="1071">
          <cell r="A1071" t="str">
            <v>txc-</v>
          </cell>
          <cell r="B1071" t="str">
            <v>txc</v>
          </cell>
        </row>
        <row r="1072">
          <cell r="A1072" t="str">
            <v>txc-</v>
          </cell>
          <cell r="B1072" t="str">
            <v>txc</v>
          </cell>
        </row>
        <row r="1073">
          <cell r="A1073" t="str">
            <v>txc-</v>
          </cell>
          <cell r="B1073" t="str">
            <v>txc</v>
          </cell>
        </row>
        <row r="1074">
          <cell r="A1074" t="str">
            <v>txc-</v>
          </cell>
          <cell r="B1074" t="str">
            <v>txc</v>
          </cell>
        </row>
        <row r="1075">
          <cell r="A1075" t="str">
            <v>txc-</v>
          </cell>
          <cell r="B1075" t="str">
            <v>txc</v>
          </cell>
        </row>
        <row r="1076">
          <cell r="A1076" t="str">
            <v>txc-</v>
          </cell>
          <cell r="B1076" t="str">
            <v>txc</v>
          </cell>
        </row>
        <row r="1077">
          <cell r="A1077" t="str">
            <v>txc-</v>
          </cell>
          <cell r="B1077" t="str">
            <v>txc</v>
          </cell>
        </row>
        <row r="1078">
          <cell r="A1078" t="str">
            <v>txc-</v>
          </cell>
          <cell r="B1078" t="str">
            <v>txc</v>
          </cell>
        </row>
        <row r="1079">
          <cell r="A1079" t="str">
            <v>txc-</v>
          </cell>
          <cell r="B1079" t="str">
            <v>txc</v>
          </cell>
        </row>
        <row r="1080">
          <cell r="A1080" t="str">
            <v>txc-</v>
          </cell>
          <cell r="B1080" t="str">
            <v>txc</v>
          </cell>
        </row>
        <row r="1081">
          <cell r="A1081" t="str">
            <v>txc-</v>
          </cell>
          <cell r="B1081" t="str">
            <v>txc</v>
          </cell>
        </row>
        <row r="1082">
          <cell r="A1082" t="str">
            <v>txc-</v>
          </cell>
          <cell r="B1082" t="str">
            <v>txc</v>
          </cell>
        </row>
        <row r="1083">
          <cell r="A1083" t="str">
            <v>txc-</v>
          </cell>
          <cell r="B1083" t="str">
            <v>txc</v>
          </cell>
        </row>
        <row r="1084">
          <cell r="A1084" t="str">
            <v>txc-</v>
          </cell>
          <cell r="B1084" t="str">
            <v>txc</v>
          </cell>
        </row>
        <row r="1085">
          <cell r="A1085" t="str">
            <v>txc-</v>
          </cell>
          <cell r="B1085" t="str">
            <v>txc</v>
          </cell>
        </row>
        <row r="1086">
          <cell r="A1086" t="str">
            <v>txc-</v>
          </cell>
          <cell r="B1086" t="str">
            <v>txc</v>
          </cell>
        </row>
        <row r="1087">
          <cell r="A1087" t="str">
            <v>txc-</v>
          </cell>
          <cell r="B1087" t="str">
            <v>txc</v>
          </cell>
        </row>
        <row r="1088">
          <cell r="A1088" t="str">
            <v>txc-</v>
          </cell>
          <cell r="B1088" t="str">
            <v>txc</v>
          </cell>
        </row>
        <row r="1089">
          <cell r="A1089" t="str">
            <v>txc-</v>
          </cell>
          <cell r="B1089" t="str">
            <v>txc</v>
          </cell>
        </row>
        <row r="1090">
          <cell r="A1090" t="str">
            <v>txc-</v>
          </cell>
          <cell r="B1090" t="str">
            <v>txc</v>
          </cell>
        </row>
        <row r="1091">
          <cell r="A1091" t="str">
            <v>txc-</v>
          </cell>
          <cell r="B1091" t="str">
            <v>txc</v>
          </cell>
        </row>
        <row r="1092">
          <cell r="A1092" t="str">
            <v>txc-</v>
          </cell>
          <cell r="B1092" t="str">
            <v>txc</v>
          </cell>
        </row>
        <row r="1093">
          <cell r="A1093" t="str">
            <v>txc-</v>
          </cell>
          <cell r="B1093" t="str">
            <v>txc</v>
          </cell>
        </row>
        <row r="1094">
          <cell r="A1094" t="str">
            <v>txc-</v>
          </cell>
          <cell r="B1094" t="str">
            <v>txc</v>
          </cell>
        </row>
        <row r="1095">
          <cell r="A1095" t="str">
            <v>txc-</v>
          </cell>
          <cell r="B1095" t="str">
            <v>txc</v>
          </cell>
        </row>
        <row r="1096">
          <cell r="A1096" t="str">
            <v>txc-</v>
          </cell>
          <cell r="B1096" t="str">
            <v>txc</v>
          </cell>
        </row>
        <row r="1097">
          <cell r="A1097" t="str">
            <v>txc-</v>
          </cell>
          <cell r="B1097" t="str">
            <v>txc</v>
          </cell>
        </row>
        <row r="1098">
          <cell r="A1098" t="str">
            <v>txc-</v>
          </cell>
          <cell r="B1098" t="str">
            <v>txc</v>
          </cell>
        </row>
        <row r="1099">
          <cell r="A1099" t="str">
            <v>txc-</v>
          </cell>
          <cell r="B1099" t="str">
            <v>txc</v>
          </cell>
        </row>
        <row r="1100">
          <cell r="A1100" t="str">
            <v>txc-</v>
          </cell>
          <cell r="B1100" t="str">
            <v>txc</v>
          </cell>
        </row>
        <row r="1101">
          <cell r="A1101" t="str">
            <v>txc-</v>
          </cell>
          <cell r="B1101" t="str">
            <v>txc</v>
          </cell>
        </row>
        <row r="1102">
          <cell r="A1102" t="str">
            <v>txc-</v>
          </cell>
          <cell r="B1102" t="str">
            <v>txc</v>
          </cell>
        </row>
        <row r="1103">
          <cell r="A1103" t="str">
            <v>txc-</v>
          </cell>
          <cell r="B1103" t="str">
            <v>txc</v>
          </cell>
        </row>
        <row r="1104">
          <cell r="A1104" t="str">
            <v>txc-</v>
          </cell>
          <cell r="B1104" t="str">
            <v>txc</v>
          </cell>
        </row>
        <row r="1105">
          <cell r="A1105" t="str">
            <v>txc-</v>
          </cell>
          <cell r="B1105" t="str">
            <v>txc</v>
          </cell>
        </row>
        <row r="1106">
          <cell r="A1106" t="str">
            <v>txc-</v>
          </cell>
          <cell r="B1106" t="str">
            <v>txc</v>
          </cell>
        </row>
        <row r="1107">
          <cell r="A1107" t="str">
            <v>txc-</v>
          </cell>
          <cell r="B1107" t="str">
            <v>txc</v>
          </cell>
        </row>
        <row r="1108">
          <cell r="A1108" t="str">
            <v>txc-</v>
          </cell>
          <cell r="B1108" t="str">
            <v>txc</v>
          </cell>
        </row>
        <row r="1109">
          <cell r="A1109" t="str">
            <v>txc-</v>
          </cell>
          <cell r="B1109" t="str">
            <v>txc</v>
          </cell>
        </row>
        <row r="1110">
          <cell r="A1110" t="str">
            <v>txc-</v>
          </cell>
          <cell r="B1110" t="str">
            <v>txc</v>
          </cell>
        </row>
        <row r="1111">
          <cell r="A1111" t="str">
            <v>txc-</v>
          </cell>
          <cell r="B1111" t="str">
            <v>txc</v>
          </cell>
        </row>
        <row r="1112">
          <cell r="A1112" t="str">
            <v>txc-</v>
          </cell>
          <cell r="B1112" t="str">
            <v>txc</v>
          </cell>
        </row>
        <row r="1113">
          <cell r="A1113" t="str">
            <v>txc-</v>
          </cell>
          <cell r="B1113" t="str">
            <v>txc</v>
          </cell>
        </row>
        <row r="1114">
          <cell r="A1114" t="str">
            <v>txc-</v>
          </cell>
          <cell r="B1114" t="str">
            <v>txc</v>
          </cell>
        </row>
        <row r="1115">
          <cell r="A1115" t="str">
            <v>txc-</v>
          </cell>
          <cell r="B1115" t="str">
            <v>txc</v>
          </cell>
        </row>
        <row r="1116">
          <cell r="A1116" t="str">
            <v>txc-</v>
          </cell>
          <cell r="B1116" t="str">
            <v>txc</v>
          </cell>
        </row>
        <row r="1117">
          <cell r="A1117" t="str">
            <v>txc-</v>
          </cell>
          <cell r="B1117" t="str">
            <v>txc</v>
          </cell>
        </row>
        <row r="1118">
          <cell r="A1118" t="str">
            <v>txc-</v>
          </cell>
          <cell r="B1118" t="str">
            <v>txc</v>
          </cell>
        </row>
        <row r="1119">
          <cell r="A1119" t="str">
            <v>txc-</v>
          </cell>
          <cell r="B1119" t="str">
            <v>txc</v>
          </cell>
        </row>
        <row r="1120">
          <cell r="A1120" t="str">
            <v>txc-</v>
          </cell>
          <cell r="B1120" t="str">
            <v>txc</v>
          </cell>
        </row>
        <row r="1121">
          <cell r="A1121" t="str">
            <v>txc-</v>
          </cell>
          <cell r="B1121" t="str">
            <v>txc</v>
          </cell>
        </row>
        <row r="1122">
          <cell r="A1122" t="str">
            <v>txc-</v>
          </cell>
          <cell r="B1122" t="str">
            <v>txc</v>
          </cell>
        </row>
        <row r="1123">
          <cell r="A1123" t="str">
            <v>txc-</v>
          </cell>
          <cell r="B1123" t="str">
            <v>txc</v>
          </cell>
        </row>
        <row r="1124">
          <cell r="A1124" t="str">
            <v>txc-</v>
          </cell>
          <cell r="B1124" t="str">
            <v>txc</v>
          </cell>
        </row>
        <row r="1125">
          <cell r="A1125" t="str">
            <v>txc-</v>
          </cell>
          <cell r="B1125" t="str">
            <v>txc</v>
          </cell>
        </row>
        <row r="1126">
          <cell r="A1126" t="str">
            <v>txc-</v>
          </cell>
          <cell r="B1126" t="str">
            <v>txc</v>
          </cell>
        </row>
        <row r="1127">
          <cell r="A1127" t="str">
            <v>txc-</v>
          </cell>
          <cell r="B1127" t="str">
            <v>txc</v>
          </cell>
        </row>
        <row r="1128">
          <cell r="A1128" t="str">
            <v>txc-</v>
          </cell>
          <cell r="B1128" t="str">
            <v>txc</v>
          </cell>
        </row>
        <row r="1129">
          <cell r="A1129" t="str">
            <v>txc-</v>
          </cell>
          <cell r="B1129" t="str">
            <v>txc</v>
          </cell>
        </row>
        <row r="1130">
          <cell r="A1130" t="str">
            <v>txc-</v>
          </cell>
          <cell r="B1130" t="str">
            <v>txc</v>
          </cell>
        </row>
        <row r="1131">
          <cell r="A1131" t="str">
            <v>txc-</v>
          </cell>
          <cell r="B1131" t="str">
            <v>txc</v>
          </cell>
        </row>
        <row r="1132">
          <cell r="A1132" t="str">
            <v>txc-</v>
          </cell>
          <cell r="B1132" t="str">
            <v>txc</v>
          </cell>
        </row>
        <row r="1133">
          <cell r="A1133" t="str">
            <v>txc-</v>
          </cell>
          <cell r="B1133" t="str">
            <v>txc</v>
          </cell>
        </row>
        <row r="1134">
          <cell r="A1134" t="str">
            <v>txc-</v>
          </cell>
          <cell r="B1134" t="str">
            <v>txc</v>
          </cell>
        </row>
        <row r="1135">
          <cell r="A1135" t="str">
            <v>txc-</v>
          </cell>
          <cell r="B1135" t="str">
            <v>txc</v>
          </cell>
        </row>
        <row r="1136">
          <cell r="A1136" t="str">
            <v>txc-</v>
          </cell>
          <cell r="B1136" t="str">
            <v>txc</v>
          </cell>
        </row>
        <row r="1137">
          <cell r="A1137" t="str">
            <v>txc-</v>
          </cell>
          <cell r="B1137" t="str">
            <v>txc</v>
          </cell>
        </row>
        <row r="1138">
          <cell r="A1138" t="str">
            <v>txc-</v>
          </cell>
          <cell r="B1138" t="str">
            <v>txc</v>
          </cell>
        </row>
        <row r="1139">
          <cell r="A1139" t="str">
            <v>txc-</v>
          </cell>
          <cell r="B1139" t="str">
            <v>txc</v>
          </cell>
        </row>
        <row r="1140">
          <cell r="A1140" t="str">
            <v>txc-</v>
          </cell>
          <cell r="B1140" t="str">
            <v>txc</v>
          </cell>
        </row>
        <row r="1141">
          <cell r="A1141" t="str">
            <v>txc-</v>
          </cell>
          <cell r="B1141" t="str">
            <v>txc</v>
          </cell>
        </row>
        <row r="1142">
          <cell r="A1142" t="str">
            <v>txc-</v>
          </cell>
          <cell r="B1142" t="str">
            <v>txc</v>
          </cell>
        </row>
        <row r="1143">
          <cell r="A1143" t="str">
            <v>txc-</v>
          </cell>
          <cell r="B1143" t="str">
            <v>txc</v>
          </cell>
        </row>
        <row r="1144">
          <cell r="A1144" t="str">
            <v>txc-</v>
          </cell>
          <cell r="B1144" t="str">
            <v>txc</v>
          </cell>
        </row>
        <row r="1145">
          <cell r="A1145" t="str">
            <v>txc-</v>
          </cell>
          <cell r="B1145" t="str">
            <v>txc</v>
          </cell>
        </row>
        <row r="1146">
          <cell r="A1146" t="str">
            <v>txc-</v>
          </cell>
          <cell r="B1146" t="str">
            <v>txc</v>
          </cell>
        </row>
        <row r="1147">
          <cell r="A1147" t="str">
            <v>txc-</v>
          </cell>
          <cell r="B1147" t="str">
            <v>txc</v>
          </cell>
        </row>
        <row r="1148">
          <cell r="A1148" t="str">
            <v>txc-</v>
          </cell>
          <cell r="B1148" t="str">
            <v>txc</v>
          </cell>
        </row>
        <row r="1149">
          <cell r="A1149" t="str">
            <v>txc-</v>
          </cell>
          <cell r="B1149" t="str">
            <v>txc</v>
          </cell>
        </row>
        <row r="1150">
          <cell r="A1150" t="str">
            <v>txc-</v>
          </cell>
          <cell r="B1150" t="str">
            <v>txc</v>
          </cell>
        </row>
        <row r="1151">
          <cell r="A1151" t="str">
            <v>txc-</v>
          </cell>
          <cell r="B1151" t="str">
            <v>txc</v>
          </cell>
        </row>
        <row r="1152">
          <cell r="A1152" t="str">
            <v>txc-</v>
          </cell>
          <cell r="B1152" t="str">
            <v>txc</v>
          </cell>
        </row>
        <row r="1153">
          <cell r="A1153" t="str">
            <v>txc-</v>
          </cell>
          <cell r="B1153" t="str">
            <v>txc</v>
          </cell>
        </row>
        <row r="1154">
          <cell r="A1154" t="str">
            <v>txc-</v>
          </cell>
          <cell r="B1154" t="str">
            <v>txc</v>
          </cell>
        </row>
        <row r="1155">
          <cell r="A1155" t="str">
            <v>txc-</v>
          </cell>
          <cell r="B1155" t="str">
            <v>txc</v>
          </cell>
        </row>
        <row r="1156">
          <cell r="A1156" t="str">
            <v>txc-</v>
          </cell>
          <cell r="B1156" t="str">
            <v>txc</v>
          </cell>
        </row>
        <row r="1157">
          <cell r="A1157" t="str">
            <v>txc-</v>
          </cell>
          <cell r="B1157" t="str">
            <v>txc</v>
          </cell>
        </row>
        <row r="1158">
          <cell r="A1158" t="str">
            <v>txc-</v>
          </cell>
          <cell r="B1158" t="str">
            <v>txc</v>
          </cell>
        </row>
        <row r="1159">
          <cell r="A1159" t="str">
            <v>txc-</v>
          </cell>
          <cell r="B1159" t="str">
            <v>txc</v>
          </cell>
        </row>
        <row r="1160">
          <cell r="A1160" t="str">
            <v>txc-</v>
          </cell>
          <cell r="B1160" t="str">
            <v>txc</v>
          </cell>
        </row>
        <row r="1161">
          <cell r="A1161" t="str">
            <v>txc-</v>
          </cell>
          <cell r="B1161" t="str">
            <v>txc</v>
          </cell>
        </row>
        <row r="1162">
          <cell r="A1162" t="str">
            <v>txc-</v>
          </cell>
          <cell r="B1162" t="str">
            <v>txc</v>
          </cell>
        </row>
        <row r="1163">
          <cell r="A1163" t="str">
            <v>txc-</v>
          </cell>
          <cell r="B1163" t="str">
            <v>txc</v>
          </cell>
        </row>
        <row r="1164">
          <cell r="A1164" t="str">
            <v>txc-</v>
          </cell>
          <cell r="B1164" t="str">
            <v>txc</v>
          </cell>
        </row>
        <row r="1165">
          <cell r="A1165" t="str">
            <v>txc-</v>
          </cell>
          <cell r="B1165" t="str">
            <v>txc</v>
          </cell>
        </row>
        <row r="1166">
          <cell r="A1166" t="str">
            <v>txc-</v>
          </cell>
          <cell r="B1166" t="str">
            <v>txc</v>
          </cell>
        </row>
        <row r="1167">
          <cell r="A1167" t="str">
            <v>txc-</v>
          </cell>
          <cell r="B1167" t="str">
            <v>txc</v>
          </cell>
        </row>
        <row r="1168">
          <cell r="A1168" t="str">
            <v>txc-</v>
          </cell>
          <cell r="B1168" t="str">
            <v>txc</v>
          </cell>
        </row>
        <row r="1169">
          <cell r="A1169" t="str">
            <v>txc-</v>
          </cell>
          <cell r="B1169" t="str">
            <v>txc</v>
          </cell>
        </row>
        <row r="1170">
          <cell r="A1170" t="str">
            <v>txc-</v>
          </cell>
          <cell r="B1170" t="str">
            <v>txc</v>
          </cell>
        </row>
        <row r="1171">
          <cell r="A1171" t="str">
            <v>txc-</v>
          </cell>
          <cell r="B1171" t="str">
            <v>txc</v>
          </cell>
        </row>
        <row r="1172">
          <cell r="A1172" t="str">
            <v>txc-</v>
          </cell>
          <cell r="B1172" t="str">
            <v>txc</v>
          </cell>
        </row>
        <row r="1173">
          <cell r="A1173" t="str">
            <v>txc-</v>
          </cell>
          <cell r="B1173" t="str">
            <v>txc</v>
          </cell>
        </row>
        <row r="1174">
          <cell r="A1174" t="str">
            <v>txc-</v>
          </cell>
          <cell r="B1174" t="str">
            <v>txc</v>
          </cell>
        </row>
        <row r="1175">
          <cell r="A1175" t="str">
            <v>txc-</v>
          </cell>
          <cell r="B1175" t="str">
            <v>txc</v>
          </cell>
        </row>
        <row r="1176">
          <cell r="A1176" t="str">
            <v>txc-</v>
          </cell>
          <cell r="B1176" t="str">
            <v>txc</v>
          </cell>
        </row>
        <row r="1177">
          <cell r="A1177" t="str">
            <v>txc-</v>
          </cell>
          <cell r="B1177" t="str">
            <v>txc</v>
          </cell>
        </row>
        <row r="1178">
          <cell r="A1178" t="str">
            <v>txc-</v>
          </cell>
          <cell r="B1178" t="str">
            <v>txc</v>
          </cell>
        </row>
        <row r="1179">
          <cell r="A1179" t="str">
            <v>txc-</v>
          </cell>
          <cell r="B1179" t="str">
            <v>txc</v>
          </cell>
        </row>
        <row r="1180">
          <cell r="A1180" t="str">
            <v>txc-</v>
          </cell>
          <cell r="B1180" t="str">
            <v>txc</v>
          </cell>
        </row>
        <row r="1181">
          <cell r="A1181" t="str">
            <v>txc-</v>
          </cell>
          <cell r="B1181" t="str">
            <v>txc</v>
          </cell>
        </row>
        <row r="1182">
          <cell r="A1182" t="str">
            <v>txc-</v>
          </cell>
          <cell r="B1182" t="str">
            <v>txc</v>
          </cell>
        </row>
        <row r="1183">
          <cell r="A1183" t="str">
            <v>txc-</v>
          </cell>
          <cell r="B1183" t="str">
            <v>txc</v>
          </cell>
        </row>
        <row r="1184">
          <cell r="A1184" t="str">
            <v>txc-</v>
          </cell>
          <cell r="B1184" t="str">
            <v>txc</v>
          </cell>
        </row>
        <row r="1185">
          <cell r="A1185" t="str">
            <v>txc-</v>
          </cell>
          <cell r="B1185" t="str">
            <v>txc</v>
          </cell>
        </row>
        <row r="1186">
          <cell r="A1186" t="str">
            <v>txc-</v>
          </cell>
          <cell r="B1186" t="str">
            <v>txc</v>
          </cell>
        </row>
        <row r="1187">
          <cell r="A1187" t="str">
            <v>txc-</v>
          </cell>
          <cell r="B1187" t="str">
            <v>txc</v>
          </cell>
        </row>
        <row r="1188">
          <cell r="A1188" t="str">
            <v>txc-</v>
          </cell>
          <cell r="B1188" t="str">
            <v>txc</v>
          </cell>
        </row>
        <row r="1189">
          <cell r="A1189" t="str">
            <v>txc-</v>
          </cell>
          <cell r="B1189" t="str">
            <v>txc</v>
          </cell>
        </row>
        <row r="1190">
          <cell r="A1190" t="str">
            <v>txc-</v>
          </cell>
          <cell r="B1190" t="str">
            <v>txc</v>
          </cell>
        </row>
        <row r="1191">
          <cell r="A1191" t="str">
            <v>txc-</v>
          </cell>
          <cell r="B1191" t="str">
            <v>txc</v>
          </cell>
        </row>
        <row r="1192">
          <cell r="A1192" t="str">
            <v>txc-</v>
          </cell>
          <cell r="B1192" t="str">
            <v>txc</v>
          </cell>
        </row>
        <row r="1193">
          <cell r="A1193" t="str">
            <v>txc-</v>
          </cell>
          <cell r="B1193" t="str">
            <v>txc</v>
          </cell>
        </row>
        <row r="1194">
          <cell r="A1194" t="str">
            <v>txc-</v>
          </cell>
          <cell r="B1194" t="str">
            <v>txc</v>
          </cell>
        </row>
        <row r="1195">
          <cell r="A1195" t="str">
            <v>txc-</v>
          </cell>
          <cell r="B1195" t="str">
            <v>txc</v>
          </cell>
        </row>
        <row r="1196">
          <cell r="A1196" t="str">
            <v>txc-</v>
          </cell>
          <cell r="B1196" t="str">
            <v>txc</v>
          </cell>
        </row>
        <row r="1197">
          <cell r="A1197" t="str">
            <v>txc-</v>
          </cell>
          <cell r="B1197" t="str">
            <v>txc</v>
          </cell>
        </row>
        <row r="1198">
          <cell r="A1198" t="str">
            <v>txc-</v>
          </cell>
          <cell r="B1198" t="str">
            <v>txc</v>
          </cell>
        </row>
        <row r="1199">
          <cell r="A1199" t="str">
            <v>txc-</v>
          </cell>
          <cell r="B1199" t="str">
            <v>txc</v>
          </cell>
        </row>
        <row r="1200">
          <cell r="A1200" t="str">
            <v>txc-</v>
          </cell>
          <cell r="B1200" t="str">
            <v>txc</v>
          </cell>
        </row>
        <row r="1201">
          <cell r="A1201" t="str">
            <v>txc-</v>
          </cell>
          <cell r="B1201" t="str">
            <v>txc</v>
          </cell>
        </row>
        <row r="1202">
          <cell r="A1202" t="str">
            <v>txc-</v>
          </cell>
          <cell r="B1202" t="str">
            <v>txc</v>
          </cell>
        </row>
        <row r="1203">
          <cell r="A1203" t="str">
            <v>txc-</v>
          </cell>
          <cell r="B1203" t="str">
            <v>txc</v>
          </cell>
        </row>
        <row r="1204">
          <cell r="A1204" t="str">
            <v>txc-</v>
          </cell>
          <cell r="B1204" t="str">
            <v>txc</v>
          </cell>
        </row>
        <row r="1205">
          <cell r="A1205" t="str">
            <v>txc-</v>
          </cell>
          <cell r="B1205" t="str">
            <v>txc</v>
          </cell>
        </row>
        <row r="1206">
          <cell r="A1206" t="str">
            <v>txc-</v>
          </cell>
          <cell r="B1206" t="str">
            <v>txc</v>
          </cell>
        </row>
        <row r="1207">
          <cell r="A1207" t="str">
            <v>txc-</v>
          </cell>
          <cell r="B1207" t="str">
            <v>txc</v>
          </cell>
        </row>
        <row r="1208">
          <cell r="A1208" t="str">
            <v>txc-</v>
          </cell>
          <cell r="B1208" t="str">
            <v>txc</v>
          </cell>
        </row>
        <row r="1209">
          <cell r="A1209" t="str">
            <v>txc-</v>
          </cell>
          <cell r="B1209" t="str">
            <v>txc</v>
          </cell>
        </row>
        <row r="1210">
          <cell r="A1210" t="str">
            <v>txc-</v>
          </cell>
          <cell r="B1210" t="str">
            <v>txc</v>
          </cell>
        </row>
        <row r="1211">
          <cell r="A1211" t="str">
            <v>txc-</v>
          </cell>
          <cell r="B1211" t="str">
            <v>txc</v>
          </cell>
        </row>
        <row r="1212">
          <cell r="A1212" t="str">
            <v>txc-</v>
          </cell>
          <cell r="B1212" t="str">
            <v>txc</v>
          </cell>
        </row>
        <row r="1213">
          <cell r="A1213" t="str">
            <v>txc-</v>
          </cell>
          <cell r="B1213" t="str">
            <v>txc</v>
          </cell>
        </row>
        <row r="1214">
          <cell r="A1214" t="str">
            <v>txc-</v>
          </cell>
          <cell r="B1214" t="str">
            <v>txc</v>
          </cell>
        </row>
        <row r="1215">
          <cell r="A1215" t="str">
            <v>txc-</v>
          </cell>
          <cell r="B1215" t="str">
            <v>txc</v>
          </cell>
        </row>
        <row r="1216">
          <cell r="A1216" t="str">
            <v>txc-</v>
          </cell>
          <cell r="B1216" t="str">
            <v>txc</v>
          </cell>
        </row>
        <row r="1217">
          <cell r="A1217" t="str">
            <v>txc-</v>
          </cell>
          <cell r="B1217" t="str">
            <v>txc</v>
          </cell>
        </row>
        <row r="1218">
          <cell r="A1218" t="str">
            <v>txc-</v>
          </cell>
          <cell r="B1218" t="str">
            <v>txc</v>
          </cell>
        </row>
        <row r="1219">
          <cell r="A1219" t="str">
            <v>txc-</v>
          </cell>
          <cell r="B1219" t="str">
            <v>txc</v>
          </cell>
        </row>
        <row r="1220">
          <cell r="A1220" t="str">
            <v>txc-</v>
          </cell>
          <cell r="B1220" t="str">
            <v>txc</v>
          </cell>
        </row>
        <row r="1221">
          <cell r="A1221" t="str">
            <v>txc-</v>
          </cell>
          <cell r="B1221" t="str">
            <v>txc</v>
          </cell>
        </row>
        <row r="1222">
          <cell r="A1222" t="str">
            <v>txc-</v>
          </cell>
          <cell r="B1222" t="str">
            <v>txc</v>
          </cell>
        </row>
        <row r="1223">
          <cell r="A1223" t="str">
            <v>txc-</v>
          </cell>
          <cell r="B1223" t="str">
            <v>txc</v>
          </cell>
        </row>
        <row r="1224">
          <cell r="A1224" t="str">
            <v>txc-</v>
          </cell>
          <cell r="B1224" t="str">
            <v>txc</v>
          </cell>
        </row>
        <row r="1225">
          <cell r="A1225" t="str">
            <v>txc-</v>
          </cell>
          <cell r="B1225" t="str">
            <v>txc</v>
          </cell>
        </row>
        <row r="1226">
          <cell r="A1226" t="str">
            <v>txc-</v>
          </cell>
          <cell r="B1226" t="str">
            <v>txc</v>
          </cell>
        </row>
        <row r="1227">
          <cell r="A1227" t="str">
            <v>txc-</v>
          </cell>
          <cell r="B1227" t="str">
            <v>txc</v>
          </cell>
        </row>
        <row r="1228">
          <cell r="A1228" t="str">
            <v>txc-</v>
          </cell>
          <cell r="B1228" t="str">
            <v>txc</v>
          </cell>
        </row>
        <row r="1229">
          <cell r="A1229" t="str">
            <v>txc-</v>
          </cell>
          <cell r="B1229" t="str">
            <v>txc</v>
          </cell>
        </row>
        <row r="1230">
          <cell r="A1230" t="str">
            <v>txc-</v>
          </cell>
          <cell r="B1230" t="str">
            <v>txc</v>
          </cell>
        </row>
        <row r="1231">
          <cell r="A1231" t="str">
            <v>txc-</v>
          </cell>
          <cell r="B1231" t="str">
            <v>txc</v>
          </cell>
        </row>
        <row r="1232">
          <cell r="A1232" t="str">
            <v>txc-</v>
          </cell>
          <cell r="B1232" t="str">
            <v>txc</v>
          </cell>
        </row>
        <row r="1233">
          <cell r="A1233" t="str">
            <v>txc-</v>
          </cell>
          <cell r="B1233" t="str">
            <v>txc</v>
          </cell>
        </row>
        <row r="1234">
          <cell r="A1234" t="str">
            <v>txc-</v>
          </cell>
          <cell r="B1234" t="str">
            <v>txc</v>
          </cell>
        </row>
        <row r="1235">
          <cell r="A1235" t="str">
            <v>txc-</v>
          </cell>
          <cell r="B1235" t="str">
            <v>txc</v>
          </cell>
        </row>
        <row r="1236">
          <cell r="A1236" t="str">
            <v>txc-</v>
          </cell>
          <cell r="B1236" t="str">
            <v>txc</v>
          </cell>
        </row>
        <row r="1237">
          <cell r="A1237" t="str">
            <v>txc-</v>
          </cell>
          <cell r="B1237" t="str">
            <v>txc</v>
          </cell>
        </row>
        <row r="1238">
          <cell r="A1238" t="str">
            <v>txc-</v>
          </cell>
          <cell r="B1238" t="str">
            <v>txc</v>
          </cell>
        </row>
        <row r="1239">
          <cell r="A1239" t="str">
            <v>txc-</v>
          </cell>
          <cell r="B1239" t="str">
            <v>txc</v>
          </cell>
        </row>
        <row r="1240">
          <cell r="A1240" t="str">
            <v>txc-</v>
          </cell>
          <cell r="B1240" t="str">
            <v>txc</v>
          </cell>
        </row>
        <row r="1241">
          <cell r="A1241" t="str">
            <v>txc-</v>
          </cell>
          <cell r="B1241" t="str">
            <v>txc</v>
          </cell>
        </row>
        <row r="1242">
          <cell r="A1242" t="str">
            <v>txc-</v>
          </cell>
          <cell r="B1242" t="str">
            <v>txc</v>
          </cell>
        </row>
        <row r="1243">
          <cell r="A1243" t="str">
            <v>txc-</v>
          </cell>
          <cell r="B1243" t="str">
            <v>txc</v>
          </cell>
        </row>
        <row r="1244">
          <cell r="A1244" t="str">
            <v>txc-</v>
          </cell>
          <cell r="B1244" t="str">
            <v>txc</v>
          </cell>
        </row>
        <row r="1245">
          <cell r="A1245" t="str">
            <v>txc-</v>
          </cell>
          <cell r="B1245" t="str">
            <v>txc</v>
          </cell>
        </row>
        <row r="1246">
          <cell r="A1246" t="str">
            <v>txc-</v>
          </cell>
          <cell r="B1246" t="str">
            <v>txc</v>
          </cell>
        </row>
        <row r="1247">
          <cell r="A1247" t="str">
            <v>txc-</v>
          </cell>
          <cell r="B1247" t="str">
            <v>txc</v>
          </cell>
        </row>
        <row r="1248">
          <cell r="A1248" t="str">
            <v>txc-</v>
          </cell>
          <cell r="B1248" t="str">
            <v>txc</v>
          </cell>
        </row>
        <row r="1249">
          <cell r="A1249" t="str">
            <v>txc-</v>
          </cell>
          <cell r="B1249" t="str">
            <v>txc</v>
          </cell>
        </row>
        <row r="1250">
          <cell r="A1250" t="str">
            <v>txc-</v>
          </cell>
          <cell r="B1250" t="str">
            <v>txc</v>
          </cell>
        </row>
        <row r="1251">
          <cell r="A1251" t="str">
            <v>txc-</v>
          </cell>
          <cell r="B1251" t="str">
            <v>txc</v>
          </cell>
        </row>
        <row r="1252">
          <cell r="A1252" t="str">
            <v>txc-</v>
          </cell>
          <cell r="B1252" t="str">
            <v>txc</v>
          </cell>
        </row>
        <row r="1253">
          <cell r="A1253" t="str">
            <v>txc-</v>
          </cell>
          <cell r="B1253" t="str">
            <v>txc</v>
          </cell>
        </row>
        <row r="1254">
          <cell r="A1254" t="str">
            <v>txc-</v>
          </cell>
          <cell r="B1254" t="str">
            <v>txc</v>
          </cell>
        </row>
        <row r="1255">
          <cell r="A1255" t="str">
            <v>txc-</v>
          </cell>
          <cell r="B1255" t="str">
            <v>txc</v>
          </cell>
        </row>
        <row r="1256">
          <cell r="A1256" t="str">
            <v>txc-</v>
          </cell>
          <cell r="B1256" t="str">
            <v>txc</v>
          </cell>
        </row>
        <row r="1257">
          <cell r="A1257" t="str">
            <v>txc-</v>
          </cell>
          <cell r="B1257" t="str">
            <v>txc</v>
          </cell>
        </row>
        <row r="1258">
          <cell r="A1258" t="str">
            <v>txc-</v>
          </cell>
          <cell r="B1258" t="str">
            <v>txc</v>
          </cell>
        </row>
        <row r="1259">
          <cell r="A1259" t="str">
            <v>txc-</v>
          </cell>
          <cell r="B1259" t="str">
            <v>txc</v>
          </cell>
        </row>
        <row r="1260">
          <cell r="A1260" t="str">
            <v>txc-</v>
          </cell>
          <cell r="B1260" t="str">
            <v>txc</v>
          </cell>
        </row>
        <row r="1261">
          <cell r="A1261" t="str">
            <v>txc-</v>
          </cell>
          <cell r="B1261" t="str">
            <v>txc</v>
          </cell>
        </row>
        <row r="1262">
          <cell r="A1262" t="str">
            <v>txc-</v>
          </cell>
          <cell r="B1262" t="str">
            <v>txc</v>
          </cell>
        </row>
        <row r="1263">
          <cell r="A1263" t="str">
            <v>txc-</v>
          </cell>
          <cell r="B1263" t="str">
            <v>txc</v>
          </cell>
        </row>
        <row r="1264">
          <cell r="A1264" t="str">
            <v>txc-</v>
          </cell>
          <cell r="B1264" t="str">
            <v>txc</v>
          </cell>
        </row>
        <row r="1265">
          <cell r="A1265" t="str">
            <v>txc-</v>
          </cell>
          <cell r="B1265" t="str">
            <v>txc</v>
          </cell>
        </row>
        <row r="1266">
          <cell r="A1266" t="str">
            <v>txc-</v>
          </cell>
          <cell r="B1266" t="str">
            <v>txc</v>
          </cell>
        </row>
        <row r="1267">
          <cell r="A1267" t="str">
            <v>txc-</v>
          </cell>
          <cell r="B1267" t="str">
            <v>txc</v>
          </cell>
        </row>
        <row r="1268">
          <cell r="A1268" t="str">
            <v>txc-</v>
          </cell>
          <cell r="B1268" t="str">
            <v>txc</v>
          </cell>
        </row>
        <row r="1269">
          <cell r="A1269" t="str">
            <v>txc-</v>
          </cell>
          <cell r="B1269" t="str">
            <v>txc</v>
          </cell>
        </row>
        <row r="1270">
          <cell r="A1270" t="str">
            <v>txc-</v>
          </cell>
          <cell r="B1270" t="str">
            <v>txc</v>
          </cell>
        </row>
        <row r="1271">
          <cell r="A1271" t="str">
            <v>txc-</v>
          </cell>
          <cell r="B1271" t="str">
            <v>txc</v>
          </cell>
        </row>
        <row r="1272">
          <cell r="A1272" t="str">
            <v>txc-</v>
          </cell>
          <cell r="B1272" t="str">
            <v>txc</v>
          </cell>
        </row>
        <row r="1273">
          <cell r="A1273" t="str">
            <v>txc-</v>
          </cell>
          <cell r="B1273" t="str">
            <v>txc</v>
          </cell>
        </row>
        <row r="1274">
          <cell r="A1274" t="str">
            <v>txc-</v>
          </cell>
          <cell r="B1274" t="str">
            <v>txc</v>
          </cell>
        </row>
        <row r="1275">
          <cell r="A1275" t="str">
            <v>txc-</v>
          </cell>
          <cell r="B1275" t="str">
            <v>txc</v>
          </cell>
        </row>
        <row r="1276">
          <cell r="A1276" t="str">
            <v>txc-</v>
          </cell>
          <cell r="B1276" t="str">
            <v>txc</v>
          </cell>
        </row>
        <row r="1277">
          <cell r="A1277" t="str">
            <v>txc-</v>
          </cell>
          <cell r="B1277" t="str">
            <v>txc</v>
          </cell>
        </row>
        <row r="1278">
          <cell r="A1278" t="str">
            <v>txc-</v>
          </cell>
          <cell r="B1278" t="str">
            <v>txc</v>
          </cell>
        </row>
        <row r="1279">
          <cell r="A1279" t="str">
            <v>txc-</v>
          </cell>
          <cell r="B1279" t="str">
            <v>txc</v>
          </cell>
        </row>
        <row r="1280">
          <cell r="A1280" t="str">
            <v>txc-</v>
          </cell>
          <cell r="B1280" t="str">
            <v>txc</v>
          </cell>
        </row>
        <row r="1281">
          <cell r="A1281" t="str">
            <v>txc-</v>
          </cell>
          <cell r="B1281" t="str">
            <v>txc</v>
          </cell>
        </row>
        <row r="1282">
          <cell r="A1282" t="str">
            <v>txc-</v>
          </cell>
          <cell r="B1282" t="str">
            <v>txc</v>
          </cell>
        </row>
        <row r="1283">
          <cell r="A1283" t="str">
            <v>txc-</v>
          </cell>
          <cell r="B1283" t="str">
            <v>txc</v>
          </cell>
        </row>
        <row r="1284">
          <cell r="A1284" t="str">
            <v>txc-</v>
          </cell>
          <cell r="B1284" t="str">
            <v>txc</v>
          </cell>
        </row>
        <row r="1285">
          <cell r="A1285" t="str">
            <v>txc-</v>
          </cell>
          <cell r="B1285" t="str">
            <v>txc</v>
          </cell>
        </row>
        <row r="1286">
          <cell r="A1286" t="str">
            <v>txc-</v>
          </cell>
          <cell r="B1286" t="str">
            <v>txc</v>
          </cell>
        </row>
        <row r="1287">
          <cell r="A1287" t="str">
            <v>txc-</v>
          </cell>
          <cell r="B1287" t="str">
            <v>txc</v>
          </cell>
        </row>
        <row r="1288">
          <cell r="A1288" t="str">
            <v>txc-</v>
          </cell>
          <cell r="B1288" t="str">
            <v>txc</v>
          </cell>
        </row>
        <row r="1289">
          <cell r="A1289" t="str">
            <v>txc-</v>
          </cell>
          <cell r="B1289" t="str">
            <v>txc</v>
          </cell>
        </row>
        <row r="1290">
          <cell r="A1290" t="str">
            <v>txc-</v>
          </cell>
          <cell r="B1290" t="str">
            <v>txc</v>
          </cell>
        </row>
        <row r="1291">
          <cell r="A1291" t="str">
            <v>txc-</v>
          </cell>
          <cell r="B1291" t="str">
            <v>txc</v>
          </cell>
        </row>
        <row r="1292">
          <cell r="A1292" t="str">
            <v>txc-</v>
          </cell>
          <cell r="B1292" t="str">
            <v>txc</v>
          </cell>
        </row>
        <row r="1293">
          <cell r="A1293" t="str">
            <v>txc-</v>
          </cell>
          <cell r="B1293" t="str">
            <v>txc</v>
          </cell>
        </row>
        <row r="1294">
          <cell r="A1294" t="str">
            <v>txc-</v>
          </cell>
          <cell r="B1294" t="str">
            <v>txc</v>
          </cell>
        </row>
        <row r="1295">
          <cell r="A1295" t="str">
            <v>txc-</v>
          </cell>
          <cell r="B1295" t="str">
            <v>txc</v>
          </cell>
        </row>
        <row r="1296">
          <cell r="A1296" t="str">
            <v>txc-</v>
          </cell>
          <cell r="B1296" t="str">
            <v>txc</v>
          </cell>
        </row>
        <row r="1297">
          <cell r="A1297" t="str">
            <v>txc-</v>
          </cell>
          <cell r="B1297" t="str">
            <v>txc</v>
          </cell>
        </row>
        <row r="1298">
          <cell r="A1298" t="str">
            <v>txc-</v>
          </cell>
          <cell r="B1298" t="str">
            <v>txc</v>
          </cell>
        </row>
        <row r="1299">
          <cell r="A1299" t="str">
            <v>txc-</v>
          </cell>
          <cell r="B1299" t="str">
            <v>txc</v>
          </cell>
        </row>
        <row r="1300">
          <cell r="A1300" t="str">
            <v>txc-</v>
          </cell>
          <cell r="B1300" t="str">
            <v>txc</v>
          </cell>
        </row>
        <row r="1301">
          <cell r="A1301" t="str">
            <v>txc-</v>
          </cell>
          <cell r="B1301" t="str">
            <v>txc</v>
          </cell>
        </row>
        <row r="1302">
          <cell r="A1302" t="str">
            <v>txc-</v>
          </cell>
          <cell r="B1302" t="str">
            <v>txc</v>
          </cell>
        </row>
        <row r="1303">
          <cell r="A1303" t="str">
            <v>txc-</v>
          </cell>
          <cell r="B1303" t="str">
            <v>txc</v>
          </cell>
        </row>
        <row r="1304">
          <cell r="A1304" t="str">
            <v>txc-</v>
          </cell>
          <cell r="B1304" t="str">
            <v>txc</v>
          </cell>
        </row>
        <row r="1305">
          <cell r="A1305" t="str">
            <v>txc-</v>
          </cell>
          <cell r="B1305" t="str">
            <v>txc</v>
          </cell>
        </row>
        <row r="1306">
          <cell r="A1306" t="str">
            <v>txc-</v>
          </cell>
          <cell r="B1306" t="str">
            <v>txc</v>
          </cell>
        </row>
        <row r="1307">
          <cell r="A1307" t="str">
            <v>txc-</v>
          </cell>
          <cell r="B1307" t="str">
            <v>txc</v>
          </cell>
        </row>
        <row r="1308">
          <cell r="A1308" t="str">
            <v>txc-</v>
          </cell>
          <cell r="B1308" t="str">
            <v>txc</v>
          </cell>
        </row>
        <row r="1309">
          <cell r="A1309" t="str">
            <v>txc-</v>
          </cell>
          <cell r="B1309" t="str">
            <v>txc</v>
          </cell>
        </row>
        <row r="1310">
          <cell r="A1310" t="str">
            <v>txc-</v>
          </cell>
          <cell r="B1310" t="str">
            <v>txc</v>
          </cell>
        </row>
        <row r="1311">
          <cell r="A1311" t="str">
            <v>txc-</v>
          </cell>
          <cell r="B1311" t="str">
            <v>txc</v>
          </cell>
        </row>
        <row r="1312">
          <cell r="A1312" t="str">
            <v>txc-</v>
          </cell>
          <cell r="B1312" t="str">
            <v>txc</v>
          </cell>
        </row>
        <row r="1313">
          <cell r="A1313" t="str">
            <v>txc-</v>
          </cell>
          <cell r="B1313" t="str">
            <v>txc</v>
          </cell>
        </row>
        <row r="1314">
          <cell r="A1314" t="str">
            <v>txc-</v>
          </cell>
          <cell r="B1314" t="str">
            <v>txc</v>
          </cell>
        </row>
        <row r="1315">
          <cell r="A1315" t="str">
            <v>txc-</v>
          </cell>
          <cell r="B1315" t="str">
            <v>txc</v>
          </cell>
        </row>
        <row r="1316">
          <cell r="A1316" t="str">
            <v>txc-</v>
          </cell>
          <cell r="B1316" t="str">
            <v>txc</v>
          </cell>
        </row>
        <row r="1317">
          <cell r="A1317" t="str">
            <v>txc-</v>
          </cell>
          <cell r="B1317" t="str">
            <v>txc</v>
          </cell>
        </row>
        <row r="1318">
          <cell r="A1318" t="str">
            <v>txc-</v>
          </cell>
          <cell r="B1318" t="str">
            <v>txc</v>
          </cell>
        </row>
        <row r="1319">
          <cell r="A1319" t="str">
            <v>txc-</v>
          </cell>
          <cell r="B1319" t="str">
            <v>txc</v>
          </cell>
        </row>
        <row r="1320">
          <cell r="A1320" t="str">
            <v>txc-</v>
          </cell>
          <cell r="B1320" t="str">
            <v>txc</v>
          </cell>
        </row>
        <row r="1321">
          <cell r="A1321" t="str">
            <v>txc-</v>
          </cell>
          <cell r="B1321" t="str">
            <v>txc</v>
          </cell>
        </row>
        <row r="1322">
          <cell r="A1322" t="str">
            <v>txc-</v>
          </cell>
          <cell r="B1322" t="str">
            <v>txc</v>
          </cell>
        </row>
        <row r="1323">
          <cell r="A1323" t="str">
            <v>txc-</v>
          </cell>
          <cell r="B1323" t="str">
            <v>txc</v>
          </cell>
        </row>
        <row r="1324">
          <cell r="A1324" t="str">
            <v>txc-</v>
          </cell>
          <cell r="B1324" t="str">
            <v>txc</v>
          </cell>
        </row>
        <row r="1325">
          <cell r="A1325" t="str">
            <v>txc-</v>
          </cell>
          <cell r="B1325" t="str">
            <v>txc</v>
          </cell>
        </row>
        <row r="1326">
          <cell r="A1326" t="str">
            <v>txc-</v>
          </cell>
          <cell r="B1326" t="str">
            <v>txc</v>
          </cell>
        </row>
        <row r="1327">
          <cell r="A1327" t="str">
            <v>txc-</v>
          </cell>
          <cell r="B1327" t="str">
            <v>txc</v>
          </cell>
        </row>
        <row r="1328">
          <cell r="A1328" t="str">
            <v>txc-</v>
          </cell>
          <cell r="B1328" t="str">
            <v>txc</v>
          </cell>
        </row>
        <row r="1329">
          <cell r="A1329" t="str">
            <v>txc-</v>
          </cell>
          <cell r="B1329" t="str">
            <v>txc</v>
          </cell>
        </row>
        <row r="1330">
          <cell r="A1330" t="str">
            <v>txc-</v>
          </cell>
          <cell r="B1330" t="str">
            <v>txc</v>
          </cell>
        </row>
        <row r="1331">
          <cell r="A1331" t="str">
            <v>txc-</v>
          </cell>
          <cell r="B1331" t="str">
            <v>txc</v>
          </cell>
        </row>
        <row r="1332">
          <cell r="A1332" t="str">
            <v>txc-</v>
          </cell>
          <cell r="B1332" t="str">
            <v>txc</v>
          </cell>
        </row>
        <row r="1333">
          <cell r="A1333" t="str">
            <v>txc-</v>
          </cell>
          <cell r="B1333" t="str">
            <v>txc</v>
          </cell>
        </row>
        <row r="1334">
          <cell r="A1334" t="str">
            <v>txc-</v>
          </cell>
          <cell r="B1334" t="str">
            <v>txc</v>
          </cell>
        </row>
        <row r="1335">
          <cell r="A1335" t="str">
            <v>txc-</v>
          </cell>
          <cell r="B1335" t="str">
            <v>txc</v>
          </cell>
        </row>
        <row r="1336">
          <cell r="A1336" t="str">
            <v>txc-</v>
          </cell>
          <cell r="B1336" t="str">
            <v>txc</v>
          </cell>
        </row>
        <row r="1337">
          <cell r="A1337" t="str">
            <v>txc-</v>
          </cell>
          <cell r="B1337" t="str">
            <v>txc</v>
          </cell>
        </row>
        <row r="1338">
          <cell r="A1338" t="str">
            <v>txc-</v>
          </cell>
          <cell r="B1338" t="str">
            <v>txc</v>
          </cell>
        </row>
        <row r="1339">
          <cell r="A1339" t="str">
            <v>txc-</v>
          </cell>
          <cell r="B1339" t="str">
            <v>txc</v>
          </cell>
        </row>
        <row r="1340">
          <cell r="A1340" t="str">
            <v>txc-</v>
          </cell>
          <cell r="B1340" t="str">
            <v>txc</v>
          </cell>
        </row>
        <row r="1341">
          <cell r="A1341" t="str">
            <v>txc-</v>
          </cell>
          <cell r="B1341" t="str">
            <v>txc</v>
          </cell>
        </row>
        <row r="1342">
          <cell r="A1342" t="str">
            <v>txc-</v>
          </cell>
          <cell r="B1342" t="str">
            <v>txc</v>
          </cell>
        </row>
        <row r="1343">
          <cell r="A1343" t="str">
            <v>txc-</v>
          </cell>
          <cell r="B1343" t="str">
            <v>txc</v>
          </cell>
        </row>
        <row r="1344">
          <cell r="A1344" t="str">
            <v>txc-</v>
          </cell>
          <cell r="B1344" t="str">
            <v>txc</v>
          </cell>
        </row>
        <row r="1345">
          <cell r="A1345" t="str">
            <v>txc-</v>
          </cell>
          <cell r="B1345" t="str">
            <v>txc</v>
          </cell>
        </row>
        <row r="1346">
          <cell r="A1346" t="str">
            <v>txc-</v>
          </cell>
          <cell r="B1346" t="str">
            <v>txc</v>
          </cell>
        </row>
        <row r="1347">
          <cell r="A1347" t="str">
            <v>txc-</v>
          </cell>
          <cell r="B1347" t="str">
            <v>txc</v>
          </cell>
        </row>
        <row r="1348">
          <cell r="A1348" t="str">
            <v>txc-</v>
          </cell>
          <cell r="B1348" t="str">
            <v>txc</v>
          </cell>
        </row>
        <row r="1349">
          <cell r="A1349" t="str">
            <v>txc-</v>
          </cell>
          <cell r="B1349" t="str">
            <v>txc</v>
          </cell>
        </row>
        <row r="1350">
          <cell r="A1350" t="str">
            <v>txc-</v>
          </cell>
          <cell r="B1350" t="str">
            <v>txc</v>
          </cell>
        </row>
        <row r="1351">
          <cell r="A1351" t="str">
            <v>txc-</v>
          </cell>
          <cell r="B1351" t="str">
            <v>txc</v>
          </cell>
        </row>
        <row r="1352">
          <cell r="A1352" t="str">
            <v>txc-</v>
          </cell>
          <cell r="B1352" t="str">
            <v>txc</v>
          </cell>
        </row>
        <row r="1353">
          <cell r="A1353" t="str">
            <v>txc-</v>
          </cell>
          <cell r="B1353" t="str">
            <v>txc</v>
          </cell>
        </row>
        <row r="1354">
          <cell r="A1354" t="str">
            <v>txc-</v>
          </cell>
          <cell r="B1354" t="str">
            <v>txc</v>
          </cell>
        </row>
        <row r="1355">
          <cell r="A1355" t="str">
            <v>txc-</v>
          </cell>
          <cell r="B1355" t="str">
            <v>txc</v>
          </cell>
        </row>
        <row r="1356">
          <cell r="A1356" t="str">
            <v>txc-</v>
          </cell>
          <cell r="B1356" t="str">
            <v>txc</v>
          </cell>
        </row>
        <row r="1357">
          <cell r="A1357" t="str">
            <v>txc-</v>
          </cell>
          <cell r="B1357" t="str">
            <v>txc</v>
          </cell>
        </row>
        <row r="1358">
          <cell r="A1358" t="str">
            <v>txc-</v>
          </cell>
          <cell r="B1358" t="str">
            <v>txc</v>
          </cell>
        </row>
        <row r="1359">
          <cell r="A1359" t="str">
            <v>txc-</v>
          </cell>
          <cell r="B1359" t="str">
            <v>txc</v>
          </cell>
        </row>
        <row r="1360">
          <cell r="A1360" t="str">
            <v>txc-</v>
          </cell>
          <cell r="B1360" t="str">
            <v>txc</v>
          </cell>
        </row>
        <row r="1361">
          <cell r="A1361" t="str">
            <v>txc-</v>
          </cell>
          <cell r="B1361" t="str">
            <v>txc</v>
          </cell>
        </row>
        <row r="1362">
          <cell r="A1362" t="str">
            <v>txc-</v>
          </cell>
          <cell r="B1362" t="str">
            <v>txc</v>
          </cell>
        </row>
        <row r="1363">
          <cell r="A1363" t="str">
            <v>txc-</v>
          </cell>
          <cell r="B1363" t="str">
            <v>txc</v>
          </cell>
        </row>
        <row r="1364">
          <cell r="A1364" t="str">
            <v>txc-</v>
          </cell>
          <cell r="B1364" t="str">
            <v>txc</v>
          </cell>
        </row>
        <row r="1365">
          <cell r="A1365" t="str">
            <v>txc-</v>
          </cell>
          <cell r="B1365" t="str">
            <v>txc</v>
          </cell>
        </row>
        <row r="1366">
          <cell r="A1366" t="str">
            <v>txc-</v>
          </cell>
          <cell r="B1366" t="str">
            <v>txc</v>
          </cell>
        </row>
        <row r="1367">
          <cell r="A1367" t="str">
            <v>txc-</v>
          </cell>
          <cell r="B1367" t="str">
            <v>txc</v>
          </cell>
        </row>
        <row r="1368">
          <cell r="A1368" t="str">
            <v>txc-</v>
          </cell>
          <cell r="B1368" t="str">
            <v>txc</v>
          </cell>
        </row>
        <row r="1369">
          <cell r="A1369" t="str">
            <v>txc-</v>
          </cell>
          <cell r="B1369" t="str">
            <v>txc</v>
          </cell>
        </row>
        <row r="1370">
          <cell r="A1370" t="str">
            <v>txc-</v>
          </cell>
          <cell r="B1370" t="str">
            <v>txc</v>
          </cell>
        </row>
        <row r="1371">
          <cell r="A1371" t="str">
            <v>txc-</v>
          </cell>
          <cell r="B1371" t="str">
            <v>txc</v>
          </cell>
        </row>
        <row r="1372">
          <cell r="A1372" t="str">
            <v>txc-</v>
          </cell>
          <cell r="B1372" t="str">
            <v>txc</v>
          </cell>
        </row>
        <row r="1373">
          <cell r="A1373" t="str">
            <v>txc-</v>
          </cell>
          <cell r="B1373" t="str">
            <v>txc</v>
          </cell>
        </row>
        <row r="1374">
          <cell r="A1374" t="str">
            <v>txc-</v>
          </cell>
          <cell r="B1374" t="str">
            <v>txc</v>
          </cell>
        </row>
        <row r="1375">
          <cell r="A1375" t="str">
            <v>txc-</v>
          </cell>
          <cell r="B1375" t="str">
            <v>txc</v>
          </cell>
        </row>
        <row r="1376">
          <cell r="A1376" t="str">
            <v>txc-</v>
          </cell>
          <cell r="B1376" t="str">
            <v>txc</v>
          </cell>
        </row>
        <row r="1377">
          <cell r="A1377" t="str">
            <v>txc-</v>
          </cell>
          <cell r="B1377" t="str">
            <v>txc</v>
          </cell>
        </row>
        <row r="1378">
          <cell r="A1378" t="str">
            <v>txc-</v>
          </cell>
          <cell r="B1378" t="str">
            <v>txc</v>
          </cell>
        </row>
        <row r="1379">
          <cell r="A1379" t="str">
            <v>txc-</v>
          </cell>
          <cell r="B1379" t="str">
            <v>txc</v>
          </cell>
        </row>
        <row r="1380">
          <cell r="A1380" t="str">
            <v>txc-</v>
          </cell>
          <cell r="B1380" t="str">
            <v>txc</v>
          </cell>
        </row>
        <row r="1381">
          <cell r="A1381" t="str">
            <v>txc-</v>
          </cell>
          <cell r="B1381" t="str">
            <v>txc</v>
          </cell>
        </row>
        <row r="1382">
          <cell r="A1382" t="str">
            <v>txc-</v>
          </cell>
          <cell r="B1382" t="str">
            <v>txc</v>
          </cell>
        </row>
        <row r="1383">
          <cell r="A1383" t="str">
            <v>txc-</v>
          </cell>
          <cell r="B1383" t="str">
            <v>txc</v>
          </cell>
        </row>
        <row r="1384">
          <cell r="A1384" t="str">
            <v>txc-</v>
          </cell>
          <cell r="B1384" t="str">
            <v>txc</v>
          </cell>
        </row>
        <row r="1385">
          <cell r="A1385" t="str">
            <v>txc-</v>
          </cell>
          <cell r="B1385" t="str">
            <v>txc</v>
          </cell>
        </row>
        <row r="1386">
          <cell r="A1386" t="str">
            <v>txc-</v>
          </cell>
          <cell r="B1386" t="str">
            <v>txc</v>
          </cell>
        </row>
        <row r="1387">
          <cell r="A1387" t="str">
            <v>txc-</v>
          </cell>
          <cell r="B1387" t="str">
            <v>txc</v>
          </cell>
        </row>
        <row r="1388">
          <cell r="A1388" t="str">
            <v>txc-</v>
          </cell>
          <cell r="B1388" t="str">
            <v>txc</v>
          </cell>
        </row>
        <row r="1389">
          <cell r="A1389" t="str">
            <v>txc-</v>
          </cell>
          <cell r="B1389" t="str">
            <v>txc</v>
          </cell>
        </row>
        <row r="1390">
          <cell r="A1390" t="str">
            <v>txc-</v>
          </cell>
          <cell r="B1390" t="str">
            <v>txc</v>
          </cell>
        </row>
        <row r="1391">
          <cell r="A1391" t="str">
            <v>txc-</v>
          </cell>
          <cell r="B1391" t="str">
            <v>txc</v>
          </cell>
        </row>
        <row r="1392">
          <cell r="A1392" t="str">
            <v>txc-</v>
          </cell>
          <cell r="B1392" t="str">
            <v>txc</v>
          </cell>
        </row>
        <row r="1393">
          <cell r="A1393" t="str">
            <v>txc-</v>
          </cell>
          <cell r="B1393" t="str">
            <v>txc</v>
          </cell>
        </row>
        <row r="1394">
          <cell r="A1394" t="str">
            <v>txc-</v>
          </cell>
          <cell r="B1394" t="str">
            <v>txc</v>
          </cell>
        </row>
        <row r="1395">
          <cell r="A1395" t="str">
            <v>txc-</v>
          </cell>
          <cell r="B1395" t="str">
            <v>txc</v>
          </cell>
        </row>
        <row r="1396">
          <cell r="A1396" t="str">
            <v>txc-</v>
          </cell>
          <cell r="B1396" t="str">
            <v>txc</v>
          </cell>
        </row>
        <row r="1397">
          <cell r="A1397" t="str">
            <v>txc-</v>
          </cell>
          <cell r="B1397" t="str">
            <v>txc</v>
          </cell>
        </row>
        <row r="1398">
          <cell r="A1398" t="str">
            <v>txc-</v>
          </cell>
          <cell r="B1398" t="str">
            <v>txc</v>
          </cell>
        </row>
        <row r="1399">
          <cell r="A1399" t="str">
            <v>txc-</v>
          </cell>
          <cell r="B1399" t="str">
            <v>txc</v>
          </cell>
        </row>
        <row r="1400">
          <cell r="A1400" t="str">
            <v>txc-</v>
          </cell>
          <cell r="B1400" t="str">
            <v>txc</v>
          </cell>
        </row>
        <row r="1401">
          <cell r="A1401" t="str">
            <v>txc-</v>
          </cell>
          <cell r="B1401" t="str">
            <v>txc</v>
          </cell>
        </row>
        <row r="1402">
          <cell r="A1402" t="str">
            <v>txc-</v>
          </cell>
          <cell r="B1402" t="str">
            <v>txc</v>
          </cell>
        </row>
        <row r="1403">
          <cell r="A1403" t="str">
            <v>txc-</v>
          </cell>
          <cell r="B1403" t="str">
            <v>txc</v>
          </cell>
        </row>
        <row r="1404">
          <cell r="A1404" t="str">
            <v>txc-</v>
          </cell>
          <cell r="B1404" t="str">
            <v>txc</v>
          </cell>
        </row>
        <row r="1405">
          <cell r="A1405" t="str">
            <v>txc-</v>
          </cell>
          <cell r="B1405" t="str">
            <v>txc</v>
          </cell>
        </row>
        <row r="1406">
          <cell r="A1406" t="str">
            <v>txc-</v>
          </cell>
          <cell r="B1406" t="str">
            <v>txc</v>
          </cell>
        </row>
        <row r="1407">
          <cell r="A1407" t="str">
            <v>txc-</v>
          </cell>
          <cell r="B1407" t="str">
            <v>txc</v>
          </cell>
        </row>
        <row r="1408">
          <cell r="A1408" t="str">
            <v>txc-</v>
          </cell>
          <cell r="B1408" t="str">
            <v>txc</v>
          </cell>
        </row>
        <row r="1409">
          <cell r="A1409" t="str">
            <v>txc-</v>
          </cell>
          <cell r="B1409" t="str">
            <v>txc</v>
          </cell>
        </row>
        <row r="1410">
          <cell r="A1410" t="str">
            <v>txc-</v>
          </cell>
          <cell r="B1410" t="str">
            <v>txc</v>
          </cell>
        </row>
        <row r="1411">
          <cell r="A1411" t="str">
            <v>txc-</v>
          </cell>
          <cell r="B1411" t="str">
            <v>txc</v>
          </cell>
        </row>
        <row r="1412">
          <cell r="A1412" t="str">
            <v>txc-</v>
          </cell>
          <cell r="B1412" t="str">
            <v>txc</v>
          </cell>
        </row>
        <row r="1413">
          <cell r="A1413" t="str">
            <v>txc-</v>
          </cell>
          <cell r="B1413" t="str">
            <v>txc</v>
          </cell>
        </row>
        <row r="1414">
          <cell r="A1414" t="str">
            <v>txc-</v>
          </cell>
          <cell r="B1414" t="str">
            <v>txc</v>
          </cell>
        </row>
        <row r="1415">
          <cell r="A1415" t="str">
            <v>txc-</v>
          </cell>
          <cell r="B1415" t="str">
            <v>txc</v>
          </cell>
        </row>
        <row r="1416">
          <cell r="A1416" t="str">
            <v>txc-</v>
          </cell>
          <cell r="B1416" t="str">
            <v>txc</v>
          </cell>
        </row>
        <row r="1417">
          <cell r="A1417" t="str">
            <v>txc-</v>
          </cell>
          <cell r="B1417" t="str">
            <v>txc</v>
          </cell>
        </row>
        <row r="1418">
          <cell r="A1418" t="str">
            <v>txc-</v>
          </cell>
          <cell r="B1418" t="str">
            <v>txc</v>
          </cell>
        </row>
        <row r="1419">
          <cell r="A1419" t="str">
            <v>txc-</v>
          </cell>
          <cell r="B1419" t="str">
            <v>txc</v>
          </cell>
        </row>
        <row r="1420">
          <cell r="A1420" t="str">
            <v>txc-</v>
          </cell>
          <cell r="B1420" t="str">
            <v>txc</v>
          </cell>
        </row>
        <row r="1421">
          <cell r="A1421" t="str">
            <v>txc-</v>
          </cell>
          <cell r="B1421" t="str">
            <v>txc</v>
          </cell>
        </row>
        <row r="1422">
          <cell r="A1422" t="str">
            <v>txc-</v>
          </cell>
          <cell r="B1422" t="str">
            <v>txc</v>
          </cell>
        </row>
        <row r="1423">
          <cell r="A1423" t="str">
            <v>txc-</v>
          </cell>
          <cell r="B1423" t="str">
            <v>txc</v>
          </cell>
        </row>
        <row r="1424">
          <cell r="A1424" t="str">
            <v>txc-</v>
          </cell>
          <cell r="B1424" t="str">
            <v>txc</v>
          </cell>
        </row>
        <row r="1425">
          <cell r="A1425" t="str">
            <v>txc-</v>
          </cell>
          <cell r="B1425" t="str">
            <v>txc</v>
          </cell>
        </row>
        <row r="1426">
          <cell r="A1426" t="str">
            <v>txc-</v>
          </cell>
          <cell r="B1426" t="str">
            <v>txc</v>
          </cell>
        </row>
        <row r="1427">
          <cell r="A1427" t="str">
            <v>txc-</v>
          </cell>
          <cell r="B1427" t="str">
            <v>txc</v>
          </cell>
        </row>
        <row r="1428">
          <cell r="A1428" t="str">
            <v>txc-</v>
          </cell>
          <cell r="B1428" t="str">
            <v>txc</v>
          </cell>
        </row>
        <row r="1429">
          <cell r="A1429" t="str">
            <v>txc-</v>
          </cell>
          <cell r="B1429" t="str">
            <v>txc</v>
          </cell>
        </row>
        <row r="1430">
          <cell r="A1430" t="str">
            <v>txc-</v>
          </cell>
          <cell r="B1430" t="str">
            <v>txc</v>
          </cell>
        </row>
        <row r="1431">
          <cell r="A1431" t="str">
            <v>txc-</v>
          </cell>
          <cell r="B1431" t="str">
            <v>txc</v>
          </cell>
        </row>
        <row r="1432">
          <cell r="A1432" t="str">
            <v>txc-</v>
          </cell>
          <cell r="B1432" t="str">
            <v>txc</v>
          </cell>
        </row>
        <row r="1433">
          <cell r="A1433" t="str">
            <v>txc-</v>
          </cell>
          <cell r="B1433" t="str">
            <v>txc</v>
          </cell>
        </row>
        <row r="1434">
          <cell r="A1434" t="str">
            <v>txc-</v>
          </cell>
          <cell r="B1434" t="str">
            <v>txc</v>
          </cell>
        </row>
        <row r="1435">
          <cell r="A1435" t="str">
            <v>txc-</v>
          </cell>
          <cell r="B1435" t="str">
            <v>txc</v>
          </cell>
        </row>
        <row r="1436">
          <cell r="A1436" t="str">
            <v>txc-</v>
          </cell>
          <cell r="B1436" t="str">
            <v>txc</v>
          </cell>
        </row>
        <row r="1437">
          <cell r="A1437" t="str">
            <v>txc-</v>
          </cell>
          <cell r="B1437" t="str">
            <v>txc</v>
          </cell>
        </row>
        <row r="1438">
          <cell r="A1438" t="str">
            <v>txc-</v>
          </cell>
          <cell r="B1438" t="str">
            <v>txc</v>
          </cell>
        </row>
        <row r="1439">
          <cell r="A1439" t="str">
            <v>txc-</v>
          </cell>
          <cell r="B1439" t="str">
            <v>txc</v>
          </cell>
        </row>
        <row r="1440">
          <cell r="A1440" t="str">
            <v>txc-</v>
          </cell>
          <cell r="B1440" t="str">
            <v>txc</v>
          </cell>
        </row>
        <row r="1441">
          <cell r="A1441" t="str">
            <v>txc-</v>
          </cell>
          <cell r="B1441" t="str">
            <v>txc</v>
          </cell>
        </row>
        <row r="1442">
          <cell r="A1442" t="str">
            <v>txc-</v>
          </cell>
          <cell r="B1442" t="str">
            <v>txc</v>
          </cell>
        </row>
        <row r="1443">
          <cell r="A1443" t="str">
            <v>txc-</v>
          </cell>
          <cell r="B1443" t="str">
            <v>txc</v>
          </cell>
        </row>
        <row r="1444">
          <cell r="A1444" t="str">
            <v>txc-</v>
          </cell>
          <cell r="B1444" t="str">
            <v>txc</v>
          </cell>
        </row>
        <row r="1445">
          <cell r="A1445" t="str">
            <v>txc-</v>
          </cell>
          <cell r="B1445" t="str">
            <v>txc</v>
          </cell>
        </row>
        <row r="1446">
          <cell r="A1446" t="str">
            <v>txc-</v>
          </cell>
          <cell r="B1446" t="str">
            <v>txc</v>
          </cell>
        </row>
        <row r="1447">
          <cell r="A1447" t="str">
            <v>txc-</v>
          </cell>
          <cell r="B1447" t="str">
            <v>txc</v>
          </cell>
        </row>
        <row r="1448">
          <cell r="A1448" t="str">
            <v>txc-</v>
          </cell>
          <cell r="B1448" t="str">
            <v>txc</v>
          </cell>
        </row>
        <row r="1449">
          <cell r="A1449" t="str">
            <v>txc-</v>
          </cell>
          <cell r="B1449" t="str">
            <v>txc</v>
          </cell>
        </row>
        <row r="1450">
          <cell r="A1450" t="str">
            <v>txc-</v>
          </cell>
          <cell r="B1450" t="str">
            <v>txc</v>
          </cell>
        </row>
        <row r="1451">
          <cell r="A1451" t="str">
            <v>txc-</v>
          </cell>
          <cell r="B1451" t="str">
            <v>txc</v>
          </cell>
        </row>
        <row r="1452">
          <cell r="A1452" t="str">
            <v>txc-</v>
          </cell>
          <cell r="B1452" t="str">
            <v>txc</v>
          </cell>
        </row>
        <row r="1453">
          <cell r="A1453" t="str">
            <v>txc-</v>
          </cell>
          <cell r="B1453" t="str">
            <v>txc</v>
          </cell>
        </row>
        <row r="1454">
          <cell r="A1454" t="str">
            <v>txc-</v>
          </cell>
          <cell r="B1454" t="str">
            <v>txc</v>
          </cell>
        </row>
        <row r="1455">
          <cell r="A1455" t="str">
            <v>txc-</v>
          </cell>
          <cell r="B1455" t="str">
            <v>txc</v>
          </cell>
        </row>
        <row r="1456">
          <cell r="A1456" t="str">
            <v>txc-</v>
          </cell>
          <cell r="B1456" t="str">
            <v>txc</v>
          </cell>
        </row>
        <row r="1457">
          <cell r="A1457" t="str">
            <v>txc-</v>
          </cell>
          <cell r="B1457" t="str">
            <v>txc</v>
          </cell>
        </row>
        <row r="1458">
          <cell r="A1458" t="str">
            <v>txc-</v>
          </cell>
          <cell r="B1458" t="str">
            <v>txc</v>
          </cell>
        </row>
        <row r="1459">
          <cell r="A1459" t="str">
            <v>txc-</v>
          </cell>
          <cell r="B1459" t="str">
            <v>txc</v>
          </cell>
        </row>
        <row r="1460">
          <cell r="A1460" t="str">
            <v>txc-</v>
          </cell>
          <cell r="B1460" t="str">
            <v>txc</v>
          </cell>
        </row>
        <row r="1461">
          <cell r="A1461" t="str">
            <v>txc-</v>
          </cell>
          <cell r="B1461" t="str">
            <v>txc</v>
          </cell>
        </row>
        <row r="1462">
          <cell r="A1462" t="str">
            <v>txc-</v>
          </cell>
          <cell r="B1462" t="str">
            <v>txc</v>
          </cell>
        </row>
        <row r="1463">
          <cell r="A1463" t="str">
            <v>txc-</v>
          </cell>
          <cell r="B1463" t="str">
            <v>txc</v>
          </cell>
        </row>
        <row r="1464">
          <cell r="A1464" t="str">
            <v>txc-</v>
          </cell>
          <cell r="B1464" t="str">
            <v>txc</v>
          </cell>
        </row>
        <row r="1465">
          <cell r="A1465" t="str">
            <v>txc-</v>
          </cell>
          <cell r="B1465" t="str">
            <v>txc</v>
          </cell>
        </row>
        <row r="1466">
          <cell r="A1466" t="str">
            <v>txc-</v>
          </cell>
          <cell r="B1466" t="str">
            <v>txc</v>
          </cell>
        </row>
        <row r="1467">
          <cell r="A1467" t="str">
            <v>txc-</v>
          </cell>
          <cell r="B1467" t="str">
            <v>txc</v>
          </cell>
        </row>
        <row r="1468">
          <cell r="A1468" t="str">
            <v>txc-</v>
          </cell>
          <cell r="B1468" t="str">
            <v>txc</v>
          </cell>
        </row>
        <row r="1469">
          <cell r="A1469" t="str">
            <v>txc-</v>
          </cell>
          <cell r="B1469" t="str">
            <v>txc</v>
          </cell>
        </row>
        <row r="1470">
          <cell r="A1470" t="str">
            <v>txc-</v>
          </cell>
          <cell r="B1470" t="str">
            <v>txc</v>
          </cell>
        </row>
        <row r="1471">
          <cell r="A1471" t="str">
            <v>txc-</v>
          </cell>
          <cell r="B1471" t="str">
            <v>txc</v>
          </cell>
        </row>
        <row r="1472">
          <cell r="A1472" t="str">
            <v>txc-</v>
          </cell>
          <cell r="B1472" t="str">
            <v>txc</v>
          </cell>
        </row>
        <row r="1473">
          <cell r="A1473" t="str">
            <v>txc-</v>
          </cell>
          <cell r="B1473" t="str">
            <v>txc</v>
          </cell>
        </row>
        <row r="1474">
          <cell r="A1474" t="str">
            <v>txc-</v>
          </cell>
          <cell r="B1474" t="str">
            <v>txc</v>
          </cell>
        </row>
        <row r="1475">
          <cell r="A1475" t="str">
            <v>txc-</v>
          </cell>
          <cell r="B1475" t="str">
            <v>txc</v>
          </cell>
        </row>
        <row r="1476">
          <cell r="A1476" t="str">
            <v>txc-</v>
          </cell>
          <cell r="B1476" t="str">
            <v>txc</v>
          </cell>
        </row>
        <row r="1477">
          <cell r="A1477" t="str">
            <v>txc-</v>
          </cell>
          <cell r="B1477" t="str">
            <v>txc</v>
          </cell>
        </row>
        <row r="1478">
          <cell r="A1478" t="str">
            <v>txc-</v>
          </cell>
          <cell r="B1478" t="str">
            <v>txc</v>
          </cell>
        </row>
        <row r="1479">
          <cell r="A1479" t="str">
            <v>txc-</v>
          </cell>
          <cell r="B1479" t="str">
            <v>txc</v>
          </cell>
        </row>
        <row r="1480">
          <cell r="A1480" t="str">
            <v>txc-</v>
          </cell>
          <cell r="B1480" t="str">
            <v>txc</v>
          </cell>
        </row>
        <row r="1481">
          <cell r="A1481" t="str">
            <v>txc-</v>
          </cell>
          <cell r="B1481" t="str">
            <v>txc</v>
          </cell>
        </row>
        <row r="1482">
          <cell r="A1482" t="str">
            <v>txc-</v>
          </cell>
          <cell r="B1482" t="str">
            <v>txc</v>
          </cell>
        </row>
        <row r="1483">
          <cell r="A1483" t="str">
            <v>txc-</v>
          </cell>
          <cell r="B1483" t="str">
            <v>txc</v>
          </cell>
        </row>
        <row r="1484">
          <cell r="A1484" t="str">
            <v>txc-</v>
          </cell>
          <cell r="B1484" t="str">
            <v>txc</v>
          </cell>
        </row>
        <row r="1485">
          <cell r="A1485" t="str">
            <v>txc-</v>
          </cell>
          <cell r="B1485" t="str">
            <v>txc</v>
          </cell>
        </row>
        <row r="1486">
          <cell r="A1486" t="str">
            <v>txc-</v>
          </cell>
          <cell r="B1486" t="str">
            <v>txc</v>
          </cell>
        </row>
        <row r="1487">
          <cell r="A1487" t="str">
            <v>txc-</v>
          </cell>
          <cell r="B1487" t="str">
            <v>txc</v>
          </cell>
        </row>
        <row r="1488">
          <cell r="A1488" t="str">
            <v>txc-</v>
          </cell>
          <cell r="B1488" t="str">
            <v>txc</v>
          </cell>
        </row>
        <row r="1489">
          <cell r="A1489" t="str">
            <v>txc-</v>
          </cell>
          <cell r="B1489" t="str">
            <v>txc</v>
          </cell>
        </row>
        <row r="1490">
          <cell r="A1490" t="str">
            <v>txc-</v>
          </cell>
          <cell r="B1490" t="str">
            <v>txc</v>
          </cell>
        </row>
        <row r="1491">
          <cell r="A1491" t="str">
            <v>txc-</v>
          </cell>
          <cell r="B1491" t="str">
            <v>txc</v>
          </cell>
        </row>
        <row r="1492">
          <cell r="A1492" t="str">
            <v>txc-</v>
          </cell>
          <cell r="B1492" t="str">
            <v>txc</v>
          </cell>
        </row>
        <row r="1493">
          <cell r="A1493" t="str">
            <v>txc-</v>
          </cell>
          <cell r="B1493" t="str">
            <v>txc</v>
          </cell>
        </row>
        <row r="1494">
          <cell r="A1494" t="str">
            <v>txc-</v>
          </cell>
          <cell r="B1494" t="str">
            <v>txc</v>
          </cell>
        </row>
        <row r="1495">
          <cell r="A1495" t="str">
            <v>txc-</v>
          </cell>
          <cell r="B1495" t="str">
            <v>txc</v>
          </cell>
        </row>
        <row r="1496">
          <cell r="A1496" t="str">
            <v>txc-</v>
          </cell>
          <cell r="B1496" t="str">
            <v>txc</v>
          </cell>
        </row>
        <row r="1497">
          <cell r="A1497" t="str">
            <v>txc-</v>
          </cell>
          <cell r="B1497" t="str">
            <v>txc</v>
          </cell>
        </row>
        <row r="1498">
          <cell r="A1498" t="str">
            <v>txc-</v>
          </cell>
          <cell r="B1498" t="str">
            <v>txc</v>
          </cell>
        </row>
        <row r="1499">
          <cell r="A1499" t="str">
            <v>txc-</v>
          </cell>
          <cell r="B1499" t="str">
            <v>txc</v>
          </cell>
        </row>
        <row r="1500">
          <cell r="A1500" t="str">
            <v>txc-</v>
          </cell>
          <cell r="B1500" t="str">
            <v>txc</v>
          </cell>
        </row>
        <row r="1501">
          <cell r="A1501" t="str">
            <v>txc-</v>
          </cell>
          <cell r="B1501" t="str">
            <v>txc</v>
          </cell>
        </row>
        <row r="1502">
          <cell r="A1502" t="str">
            <v>txc-</v>
          </cell>
          <cell r="B1502" t="str">
            <v>txc</v>
          </cell>
        </row>
        <row r="1503">
          <cell r="A1503" t="str">
            <v>txc-</v>
          </cell>
          <cell r="B1503" t="str">
            <v>txc</v>
          </cell>
        </row>
        <row r="1504">
          <cell r="A1504" t="str">
            <v>txc-</v>
          </cell>
          <cell r="B1504" t="str">
            <v>txc</v>
          </cell>
        </row>
        <row r="1505">
          <cell r="A1505" t="str">
            <v>txc-</v>
          </cell>
          <cell r="B1505" t="str">
            <v>txc</v>
          </cell>
        </row>
        <row r="1506">
          <cell r="A1506" t="str">
            <v>txc-</v>
          </cell>
          <cell r="B1506" t="str">
            <v>txc</v>
          </cell>
        </row>
        <row r="1507">
          <cell r="A1507" t="str">
            <v>txc-</v>
          </cell>
          <cell r="B1507" t="str">
            <v>txc</v>
          </cell>
        </row>
        <row r="1508">
          <cell r="A1508" t="str">
            <v>txc-</v>
          </cell>
          <cell r="B1508" t="str">
            <v>txc</v>
          </cell>
        </row>
        <row r="1509">
          <cell r="A1509" t="str">
            <v>txc-</v>
          </cell>
          <cell r="B1509" t="str">
            <v>txc</v>
          </cell>
        </row>
        <row r="1510">
          <cell r="A1510" t="str">
            <v>txc-</v>
          </cell>
          <cell r="B1510" t="str">
            <v>txc</v>
          </cell>
        </row>
        <row r="1511">
          <cell r="A1511" t="str">
            <v>txc-</v>
          </cell>
          <cell r="B1511" t="str">
            <v>txc</v>
          </cell>
        </row>
        <row r="1512">
          <cell r="A1512" t="str">
            <v>txc-</v>
          </cell>
          <cell r="B1512" t="str">
            <v>txc</v>
          </cell>
        </row>
        <row r="1513">
          <cell r="A1513" t="str">
            <v>txc-</v>
          </cell>
          <cell r="B1513" t="str">
            <v>txc</v>
          </cell>
        </row>
        <row r="1514">
          <cell r="A1514" t="str">
            <v>txc-</v>
          </cell>
          <cell r="B1514" t="str">
            <v>txc</v>
          </cell>
        </row>
        <row r="1515">
          <cell r="A1515" t="str">
            <v>txc-</v>
          </cell>
          <cell r="B1515" t="str">
            <v>txc</v>
          </cell>
        </row>
        <row r="1516">
          <cell r="A1516" t="str">
            <v>txc-</v>
          </cell>
          <cell r="B1516" t="str">
            <v>txc</v>
          </cell>
        </row>
        <row r="1517">
          <cell r="A1517" t="str">
            <v>txc-</v>
          </cell>
          <cell r="B1517" t="str">
            <v>txc</v>
          </cell>
        </row>
        <row r="1518">
          <cell r="A1518" t="str">
            <v>txc-</v>
          </cell>
          <cell r="B1518" t="str">
            <v>txc</v>
          </cell>
        </row>
        <row r="1519">
          <cell r="A1519" t="str">
            <v>txc-</v>
          </cell>
          <cell r="B1519" t="str">
            <v>txc</v>
          </cell>
        </row>
        <row r="1520">
          <cell r="A1520" t="str">
            <v>txc-</v>
          </cell>
          <cell r="B1520" t="str">
            <v>txc</v>
          </cell>
        </row>
        <row r="1521">
          <cell r="A1521" t="str">
            <v>txc-</v>
          </cell>
          <cell r="B1521" t="str">
            <v>txc</v>
          </cell>
        </row>
        <row r="1522">
          <cell r="A1522" t="str">
            <v>txc-</v>
          </cell>
          <cell r="B1522" t="str">
            <v>txc</v>
          </cell>
        </row>
        <row r="1523">
          <cell r="A1523" t="str">
            <v>txc-</v>
          </cell>
          <cell r="B1523" t="str">
            <v>txc</v>
          </cell>
        </row>
        <row r="1524">
          <cell r="A1524" t="str">
            <v>txc-</v>
          </cell>
          <cell r="B1524" t="str">
            <v>txc</v>
          </cell>
        </row>
        <row r="1525">
          <cell r="A1525" t="str">
            <v>txc-</v>
          </cell>
          <cell r="B1525" t="str">
            <v>txc</v>
          </cell>
        </row>
        <row r="1526">
          <cell r="A1526" t="str">
            <v>txc-</v>
          </cell>
          <cell r="B1526" t="str">
            <v>txc</v>
          </cell>
        </row>
        <row r="1527">
          <cell r="A1527" t="str">
            <v>txc-</v>
          </cell>
          <cell r="B1527" t="str">
            <v>txc</v>
          </cell>
        </row>
        <row r="1528">
          <cell r="A1528" t="str">
            <v>txc-</v>
          </cell>
          <cell r="B1528" t="str">
            <v>txc</v>
          </cell>
        </row>
        <row r="1529">
          <cell r="A1529" t="str">
            <v>txc-</v>
          </cell>
          <cell r="B1529" t="str">
            <v>txc</v>
          </cell>
        </row>
        <row r="1530">
          <cell r="A1530" t="str">
            <v>txc-</v>
          </cell>
          <cell r="B1530" t="str">
            <v>txc</v>
          </cell>
        </row>
        <row r="1531">
          <cell r="A1531" t="str">
            <v>txc-</v>
          </cell>
          <cell r="B1531" t="str">
            <v>txc</v>
          </cell>
        </row>
        <row r="1532">
          <cell r="A1532" t="str">
            <v>txc-</v>
          </cell>
          <cell r="B1532" t="str">
            <v>txc</v>
          </cell>
        </row>
        <row r="1533">
          <cell r="A1533" t="str">
            <v>txc-</v>
          </cell>
          <cell r="B1533" t="str">
            <v>txc</v>
          </cell>
        </row>
        <row r="1534">
          <cell r="A1534" t="str">
            <v>txc-</v>
          </cell>
          <cell r="B1534" t="str">
            <v>txc</v>
          </cell>
        </row>
        <row r="1535">
          <cell r="A1535" t="str">
            <v>txc-</v>
          </cell>
          <cell r="B1535" t="str">
            <v>txc</v>
          </cell>
        </row>
        <row r="1536">
          <cell r="A1536" t="str">
            <v>txc-</v>
          </cell>
          <cell r="B1536" t="str">
            <v>txc</v>
          </cell>
        </row>
        <row r="1537">
          <cell r="A1537" t="str">
            <v>txc-</v>
          </cell>
          <cell r="B1537" t="str">
            <v>txc</v>
          </cell>
        </row>
        <row r="1538">
          <cell r="A1538" t="str">
            <v>txc-</v>
          </cell>
          <cell r="B1538" t="str">
            <v>txc</v>
          </cell>
        </row>
        <row r="1539">
          <cell r="A1539" t="str">
            <v>txc-</v>
          </cell>
          <cell r="B1539" t="str">
            <v>txc</v>
          </cell>
        </row>
        <row r="1540">
          <cell r="A1540" t="str">
            <v>txc-</v>
          </cell>
          <cell r="B1540" t="str">
            <v>txc</v>
          </cell>
        </row>
        <row r="1541">
          <cell r="A1541" t="str">
            <v>txc-</v>
          </cell>
          <cell r="B1541" t="str">
            <v>txc</v>
          </cell>
        </row>
        <row r="1542">
          <cell r="A1542" t="str">
            <v>txc-</v>
          </cell>
          <cell r="B1542" t="str">
            <v>txc</v>
          </cell>
        </row>
        <row r="1543">
          <cell r="A1543" t="str">
            <v>txc-</v>
          </cell>
          <cell r="B1543" t="str">
            <v>txc</v>
          </cell>
        </row>
        <row r="1544">
          <cell r="A1544" t="str">
            <v>txc-</v>
          </cell>
          <cell r="B1544" t="str">
            <v>txc</v>
          </cell>
        </row>
        <row r="1545">
          <cell r="A1545" t="str">
            <v>txc-</v>
          </cell>
          <cell r="B1545" t="str">
            <v>txc</v>
          </cell>
        </row>
        <row r="1546">
          <cell r="A1546" t="str">
            <v>txc-</v>
          </cell>
          <cell r="B1546" t="str">
            <v>txc</v>
          </cell>
        </row>
        <row r="1547">
          <cell r="A1547" t="str">
            <v>txc-</v>
          </cell>
          <cell r="B1547" t="str">
            <v>txc</v>
          </cell>
        </row>
        <row r="1548">
          <cell r="A1548" t="str">
            <v>txc-</v>
          </cell>
          <cell r="B1548" t="str">
            <v>txc</v>
          </cell>
        </row>
        <row r="1549">
          <cell r="A1549" t="str">
            <v>txc-</v>
          </cell>
          <cell r="B1549" t="str">
            <v>txc</v>
          </cell>
        </row>
        <row r="1550">
          <cell r="A1550" t="str">
            <v>txc-</v>
          </cell>
          <cell r="B1550" t="str">
            <v>txc</v>
          </cell>
        </row>
        <row r="1551">
          <cell r="A1551" t="str">
            <v>txc-</v>
          </cell>
          <cell r="B1551" t="str">
            <v>txc</v>
          </cell>
        </row>
        <row r="1552">
          <cell r="A1552" t="str">
            <v>txc-</v>
          </cell>
          <cell r="B1552" t="str">
            <v>txc</v>
          </cell>
        </row>
        <row r="1553">
          <cell r="A1553" t="str">
            <v>txc-</v>
          </cell>
          <cell r="B1553" t="str">
            <v>txc</v>
          </cell>
        </row>
        <row r="1554">
          <cell r="A1554" t="str">
            <v>txc-</v>
          </cell>
          <cell r="B1554" t="str">
            <v>txc</v>
          </cell>
        </row>
        <row r="1555">
          <cell r="A1555" t="str">
            <v>txc-</v>
          </cell>
          <cell r="B1555" t="str">
            <v>txc</v>
          </cell>
        </row>
        <row r="1556">
          <cell r="A1556" t="str">
            <v>txc-</v>
          </cell>
          <cell r="B1556" t="str">
            <v>txc</v>
          </cell>
        </row>
        <row r="1557">
          <cell r="A1557" t="str">
            <v>txc-</v>
          </cell>
          <cell r="B1557" t="str">
            <v>txc</v>
          </cell>
        </row>
        <row r="1558">
          <cell r="A1558" t="str">
            <v>txc-</v>
          </cell>
          <cell r="B1558" t="str">
            <v>txc</v>
          </cell>
        </row>
        <row r="1559">
          <cell r="A1559" t="str">
            <v>txc-</v>
          </cell>
          <cell r="B1559" t="str">
            <v>txc</v>
          </cell>
        </row>
        <row r="1560">
          <cell r="A1560" t="str">
            <v>txc-</v>
          </cell>
          <cell r="B1560" t="str">
            <v>txc</v>
          </cell>
        </row>
        <row r="1561">
          <cell r="A1561" t="str">
            <v>txc-</v>
          </cell>
          <cell r="B1561" t="str">
            <v>txc</v>
          </cell>
        </row>
        <row r="1562">
          <cell r="A1562" t="str">
            <v>txc-</v>
          </cell>
          <cell r="B1562" t="str">
            <v>txc</v>
          </cell>
        </row>
        <row r="1563">
          <cell r="A1563" t="str">
            <v>txc-</v>
          </cell>
          <cell r="B1563" t="str">
            <v>txc</v>
          </cell>
        </row>
        <row r="1564">
          <cell r="A1564" t="str">
            <v>txc-</v>
          </cell>
          <cell r="B1564" t="str">
            <v>txc</v>
          </cell>
        </row>
        <row r="1565">
          <cell r="A1565" t="str">
            <v>txc-</v>
          </cell>
          <cell r="B1565" t="str">
            <v>txc</v>
          </cell>
        </row>
        <row r="1566">
          <cell r="A1566" t="str">
            <v>txc-</v>
          </cell>
          <cell r="B1566" t="str">
            <v>txc</v>
          </cell>
        </row>
        <row r="1567">
          <cell r="A1567" t="str">
            <v>txc-</v>
          </cell>
          <cell r="B1567" t="str">
            <v>txc</v>
          </cell>
        </row>
        <row r="1568">
          <cell r="A1568" t="str">
            <v>txc-</v>
          </cell>
          <cell r="B1568" t="str">
            <v>txc</v>
          </cell>
        </row>
        <row r="1569">
          <cell r="A1569" t="str">
            <v>txc-</v>
          </cell>
          <cell r="B1569" t="str">
            <v>txc</v>
          </cell>
        </row>
        <row r="1570">
          <cell r="A1570" t="str">
            <v>txc-</v>
          </cell>
          <cell r="B1570" t="str">
            <v>txc</v>
          </cell>
        </row>
        <row r="1571">
          <cell r="A1571" t="str">
            <v>txc-</v>
          </cell>
          <cell r="B1571" t="str">
            <v>txc</v>
          </cell>
        </row>
        <row r="1572">
          <cell r="A1572" t="str">
            <v>txc-</v>
          </cell>
          <cell r="B1572" t="str">
            <v>txc</v>
          </cell>
        </row>
        <row r="1573">
          <cell r="A1573" t="str">
            <v>txc-</v>
          </cell>
          <cell r="B1573" t="str">
            <v>txc</v>
          </cell>
        </row>
        <row r="1574">
          <cell r="A1574" t="str">
            <v>txc-</v>
          </cell>
          <cell r="B1574" t="str">
            <v>txc</v>
          </cell>
        </row>
        <row r="1575">
          <cell r="A1575" t="str">
            <v>txc-</v>
          </cell>
          <cell r="B1575" t="str">
            <v>txc</v>
          </cell>
        </row>
        <row r="1576">
          <cell r="A1576" t="str">
            <v>txc-</v>
          </cell>
          <cell r="B1576" t="str">
            <v>txc</v>
          </cell>
        </row>
        <row r="1577">
          <cell r="A1577" t="str">
            <v>txc-</v>
          </cell>
          <cell r="B1577" t="str">
            <v>txc</v>
          </cell>
        </row>
        <row r="1578">
          <cell r="A1578" t="str">
            <v>txc-</v>
          </cell>
          <cell r="B1578" t="str">
            <v>txc</v>
          </cell>
        </row>
        <row r="1579">
          <cell r="A1579" t="str">
            <v>txc-</v>
          </cell>
          <cell r="B1579" t="str">
            <v>txc</v>
          </cell>
        </row>
        <row r="1580">
          <cell r="A1580" t="str">
            <v>txc-</v>
          </cell>
          <cell r="B1580" t="str">
            <v>txc</v>
          </cell>
        </row>
        <row r="1581">
          <cell r="A1581" t="str">
            <v>txc-</v>
          </cell>
          <cell r="B1581" t="str">
            <v>txc</v>
          </cell>
        </row>
        <row r="1582">
          <cell r="A1582" t="str">
            <v>txc-</v>
          </cell>
          <cell r="B1582" t="str">
            <v>txc</v>
          </cell>
        </row>
        <row r="1583">
          <cell r="A1583" t="str">
            <v>txc-</v>
          </cell>
          <cell r="B1583" t="str">
            <v>txc</v>
          </cell>
        </row>
        <row r="1584">
          <cell r="A1584" t="str">
            <v>txc-</v>
          </cell>
          <cell r="B1584" t="str">
            <v>txc</v>
          </cell>
        </row>
        <row r="1585">
          <cell r="A1585" t="str">
            <v>txc-</v>
          </cell>
          <cell r="B1585" t="str">
            <v>txc</v>
          </cell>
        </row>
        <row r="1586">
          <cell r="A1586" t="str">
            <v>txc-</v>
          </cell>
          <cell r="B1586" t="str">
            <v>txc</v>
          </cell>
        </row>
        <row r="1587">
          <cell r="A1587" t="str">
            <v>txc-</v>
          </cell>
          <cell r="B1587" t="str">
            <v>txc</v>
          </cell>
        </row>
        <row r="1588">
          <cell r="A1588" t="str">
            <v>txc-</v>
          </cell>
          <cell r="B1588" t="str">
            <v>txc</v>
          </cell>
        </row>
        <row r="1589">
          <cell r="A1589" t="str">
            <v>txc-</v>
          </cell>
          <cell r="B1589" t="str">
            <v>txc</v>
          </cell>
        </row>
        <row r="1590">
          <cell r="A1590" t="str">
            <v>txc-</v>
          </cell>
          <cell r="B1590" t="str">
            <v>txc</v>
          </cell>
        </row>
        <row r="1591">
          <cell r="A1591" t="str">
            <v>txc-</v>
          </cell>
          <cell r="B1591" t="str">
            <v>txc</v>
          </cell>
        </row>
        <row r="1592">
          <cell r="A1592" t="str">
            <v>txc-</v>
          </cell>
          <cell r="B1592" t="str">
            <v>txc</v>
          </cell>
        </row>
        <row r="1593">
          <cell r="A1593" t="str">
            <v>txc-</v>
          </cell>
          <cell r="B1593" t="str">
            <v>txc</v>
          </cell>
        </row>
        <row r="1594">
          <cell r="A1594" t="str">
            <v>txc-</v>
          </cell>
          <cell r="B1594" t="str">
            <v>txc</v>
          </cell>
        </row>
        <row r="1595">
          <cell r="A1595" t="str">
            <v>txc-</v>
          </cell>
          <cell r="B1595" t="str">
            <v>txc</v>
          </cell>
        </row>
        <row r="1596">
          <cell r="A1596" t="str">
            <v>txc-</v>
          </cell>
          <cell r="B1596" t="str">
            <v>txc</v>
          </cell>
        </row>
        <row r="1597">
          <cell r="A1597" t="str">
            <v>txc-</v>
          </cell>
          <cell r="B1597" t="str">
            <v>txc</v>
          </cell>
        </row>
        <row r="1598">
          <cell r="A1598" t="str">
            <v>txc-</v>
          </cell>
          <cell r="B1598" t="str">
            <v>txc</v>
          </cell>
        </row>
        <row r="1599">
          <cell r="A1599" t="str">
            <v>txc-</v>
          </cell>
          <cell r="B1599" t="str">
            <v>txc</v>
          </cell>
        </row>
        <row r="1600">
          <cell r="A1600" t="str">
            <v>txc-</v>
          </cell>
          <cell r="B1600" t="str">
            <v>txc</v>
          </cell>
        </row>
        <row r="1601">
          <cell r="A1601" t="str">
            <v>txc-</v>
          </cell>
          <cell r="B1601" t="str">
            <v>txc</v>
          </cell>
        </row>
        <row r="1602">
          <cell r="A1602" t="str">
            <v>txc-</v>
          </cell>
          <cell r="B1602" t="str">
            <v>txc</v>
          </cell>
        </row>
        <row r="1603">
          <cell r="A1603" t="str">
            <v>txc-</v>
          </cell>
          <cell r="B1603" t="str">
            <v>txc</v>
          </cell>
        </row>
        <row r="1604">
          <cell r="A1604" t="str">
            <v>txc-</v>
          </cell>
          <cell r="B1604" t="str">
            <v>txc</v>
          </cell>
        </row>
        <row r="1605">
          <cell r="A1605" t="str">
            <v>txc-</v>
          </cell>
          <cell r="B1605" t="str">
            <v>txc</v>
          </cell>
        </row>
        <row r="1606">
          <cell r="A1606" t="str">
            <v>txc-</v>
          </cell>
          <cell r="B1606" t="str">
            <v>txc</v>
          </cell>
        </row>
        <row r="1607">
          <cell r="A1607" t="str">
            <v>txc-</v>
          </cell>
          <cell r="B1607" t="str">
            <v>txc</v>
          </cell>
        </row>
        <row r="1608">
          <cell r="A1608" t="str">
            <v>txc-</v>
          </cell>
          <cell r="B1608" t="str">
            <v>txc</v>
          </cell>
        </row>
        <row r="1609">
          <cell r="A1609" t="str">
            <v>txc-</v>
          </cell>
          <cell r="B1609" t="str">
            <v>txc</v>
          </cell>
        </row>
        <row r="1610">
          <cell r="A1610" t="str">
            <v>txc-</v>
          </cell>
          <cell r="B1610" t="str">
            <v>txc</v>
          </cell>
        </row>
        <row r="1611">
          <cell r="A1611" t="str">
            <v>txc-</v>
          </cell>
          <cell r="B1611" t="str">
            <v>txc</v>
          </cell>
        </row>
        <row r="1612">
          <cell r="A1612" t="str">
            <v>txc-</v>
          </cell>
          <cell r="B1612" t="str">
            <v>txc</v>
          </cell>
        </row>
        <row r="1613">
          <cell r="A1613" t="str">
            <v>txc-</v>
          </cell>
          <cell r="B1613" t="str">
            <v>txc</v>
          </cell>
        </row>
        <row r="1614">
          <cell r="A1614" t="str">
            <v>txc-</v>
          </cell>
          <cell r="B1614" t="str">
            <v>txc</v>
          </cell>
        </row>
        <row r="1615">
          <cell r="A1615" t="str">
            <v>txc-</v>
          </cell>
          <cell r="B1615" t="str">
            <v>txc</v>
          </cell>
        </row>
        <row r="1616">
          <cell r="A1616" t="str">
            <v>txc-</v>
          </cell>
          <cell r="B1616" t="str">
            <v>txc</v>
          </cell>
        </row>
        <row r="1617">
          <cell r="A1617" t="str">
            <v>txc-</v>
          </cell>
          <cell r="B1617" t="str">
            <v>txc</v>
          </cell>
        </row>
        <row r="1618">
          <cell r="A1618" t="str">
            <v>txc-</v>
          </cell>
          <cell r="B1618" t="str">
            <v>txc</v>
          </cell>
        </row>
        <row r="1619">
          <cell r="A1619" t="str">
            <v>txc-</v>
          </cell>
          <cell r="B1619" t="str">
            <v>txc</v>
          </cell>
        </row>
        <row r="1620">
          <cell r="A1620" t="str">
            <v>txc-</v>
          </cell>
          <cell r="B1620" t="str">
            <v>txc</v>
          </cell>
        </row>
        <row r="1621">
          <cell r="A1621" t="str">
            <v>txc-</v>
          </cell>
          <cell r="B1621" t="str">
            <v>txc</v>
          </cell>
        </row>
        <row r="1622">
          <cell r="A1622" t="str">
            <v>txc-</v>
          </cell>
          <cell r="B1622" t="str">
            <v>txc</v>
          </cell>
        </row>
        <row r="1623">
          <cell r="A1623" t="str">
            <v>txc-</v>
          </cell>
          <cell r="B1623" t="str">
            <v>txc</v>
          </cell>
        </row>
        <row r="1624">
          <cell r="A1624" t="str">
            <v>txc-</v>
          </cell>
          <cell r="B1624" t="str">
            <v>txc</v>
          </cell>
        </row>
        <row r="1625">
          <cell r="A1625" t="str">
            <v>txc-</v>
          </cell>
          <cell r="B1625" t="str">
            <v>txc</v>
          </cell>
        </row>
        <row r="1626">
          <cell r="A1626" t="str">
            <v>txc-</v>
          </cell>
          <cell r="B1626" t="str">
            <v>txc</v>
          </cell>
        </row>
        <row r="1627">
          <cell r="A1627" t="str">
            <v>txc-</v>
          </cell>
          <cell r="B1627" t="str">
            <v>txc</v>
          </cell>
        </row>
        <row r="1628">
          <cell r="A1628" t="str">
            <v>txc-</v>
          </cell>
          <cell r="B1628" t="str">
            <v>txc</v>
          </cell>
        </row>
        <row r="1629">
          <cell r="A1629" t="str">
            <v>txc-</v>
          </cell>
          <cell r="B1629" t="str">
            <v>txc</v>
          </cell>
        </row>
        <row r="1630">
          <cell r="A1630" t="str">
            <v>txc-</v>
          </cell>
          <cell r="B1630" t="str">
            <v>txc</v>
          </cell>
        </row>
        <row r="1631">
          <cell r="A1631" t="str">
            <v>txc-</v>
          </cell>
          <cell r="B1631" t="str">
            <v>txc</v>
          </cell>
        </row>
        <row r="1632">
          <cell r="A1632" t="str">
            <v>txc-</v>
          </cell>
          <cell r="B1632" t="str">
            <v>txc</v>
          </cell>
        </row>
        <row r="1633">
          <cell r="A1633" t="str">
            <v>txc-</v>
          </cell>
          <cell r="B1633" t="str">
            <v>txc</v>
          </cell>
        </row>
        <row r="1634">
          <cell r="A1634" t="str">
            <v>txc-</v>
          </cell>
          <cell r="B1634" t="str">
            <v>txc</v>
          </cell>
        </row>
        <row r="1635">
          <cell r="A1635" t="str">
            <v>txc-</v>
          </cell>
          <cell r="B1635" t="str">
            <v>txc</v>
          </cell>
        </row>
        <row r="1636">
          <cell r="A1636" t="str">
            <v>txc-</v>
          </cell>
          <cell r="B1636" t="str">
            <v>txc</v>
          </cell>
        </row>
        <row r="1637">
          <cell r="A1637" t="str">
            <v>txc-</v>
          </cell>
          <cell r="B1637" t="str">
            <v>txc</v>
          </cell>
        </row>
        <row r="1638">
          <cell r="A1638" t="str">
            <v>txc-</v>
          </cell>
          <cell r="B1638" t="str">
            <v>txc</v>
          </cell>
        </row>
        <row r="1639">
          <cell r="A1639" t="str">
            <v>txc-</v>
          </cell>
          <cell r="B1639" t="str">
            <v>txc</v>
          </cell>
        </row>
        <row r="1640">
          <cell r="A1640" t="str">
            <v>txc-</v>
          </cell>
          <cell r="B1640" t="str">
            <v>txc</v>
          </cell>
        </row>
        <row r="1641">
          <cell r="A1641" t="str">
            <v>txc-</v>
          </cell>
          <cell r="B1641" t="str">
            <v>txc</v>
          </cell>
        </row>
        <row r="1642">
          <cell r="A1642" t="str">
            <v>txc-</v>
          </cell>
          <cell r="B1642" t="str">
            <v>txc</v>
          </cell>
        </row>
        <row r="1643">
          <cell r="A1643" t="str">
            <v>txc-</v>
          </cell>
          <cell r="B1643" t="str">
            <v>txc</v>
          </cell>
        </row>
        <row r="1644">
          <cell r="A1644" t="str">
            <v>txc-</v>
          </cell>
          <cell r="B1644" t="str">
            <v>txc</v>
          </cell>
        </row>
        <row r="1645">
          <cell r="A1645" t="str">
            <v>txc-</v>
          </cell>
          <cell r="B1645" t="str">
            <v>txc</v>
          </cell>
        </row>
        <row r="1646">
          <cell r="A1646" t="str">
            <v>txc-</v>
          </cell>
          <cell r="B1646" t="str">
            <v>txc</v>
          </cell>
        </row>
        <row r="1647">
          <cell r="A1647" t="str">
            <v>txc-</v>
          </cell>
          <cell r="B1647" t="str">
            <v>txc</v>
          </cell>
        </row>
        <row r="1648">
          <cell r="A1648" t="str">
            <v>txc-</v>
          </cell>
          <cell r="B1648" t="str">
            <v>txc</v>
          </cell>
        </row>
        <row r="1649">
          <cell r="A1649" t="str">
            <v>txc-</v>
          </cell>
          <cell r="B1649" t="str">
            <v>txc</v>
          </cell>
        </row>
        <row r="1650">
          <cell r="A1650" t="str">
            <v>txc-</v>
          </cell>
          <cell r="B1650" t="str">
            <v>txc</v>
          </cell>
        </row>
        <row r="1651">
          <cell r="A1651" t="str">
            <v>txc-</v>
          </cell>
          <cell r="B1651" t="str">
            <v>txc</v>
          </cell>
        </row>
        <row r="1652">
          <cell r="A1652" t="str">
            <v>txc-</v>
          </cell>
          <cell r="B1652" t="str">
            <v>txc</v>
          </cell>
        </row>
        <row r="1653">
          <cell r="A1653" t="str">
            <v>txc-</v>
          </cell>
          <cell r="B1653" t="str">
            <v>txc</v>
          </cell>
        </row>
        <row r="1654">
          <cell r="A1654" t="str">
            <v>txc-</v>
          </cell>
          <cell r="B1654" t="str">
            <v>txc</v>
          </cell>
        </row>
        <row r="1655">
          <cell r="A1655" t="str">
            <v>txc-</v>
          </cell>
          <cell r="B1655" t="str">
            <v>txc</v>
          </cell>
        </row>
        <row r="1656">
          <cell r="A1656" t="str">
            <v>txc-</v>
          </cell>
          <cell r="B1656" t="str">
            <v>txc</v>
          </cell>
        </row>
        <row r="1657">
          <cell r="A1657" t="str">
            <v>txc-</v>
          </cell>
          <cell r="B1657" t="str">
            <v>txc</v>
          </cell>
        </row>
        <row r="1658">
          <cell r="A1658" t="str">
            <v>txc-</v>
          </cell>
          <cell r="B1658" t="str">
            <v>txc</v>
          </cell>
        </row>
        <row r="1659">
          <cell r="A1659" t="str">
            <v>txc-</v>
          </cell>
          <cell r="B1659" t="str">
            <v>txc</v>
          </cell>
        </row>
        <row r="1660">
          <cell r="A1660" t="str">
            <v>txc-</v>
          </cell>
          <cell r="B1660" t="str">
            <v>txc</v>
          </cell>
        </row>
        <row r="1661">
          <cell r="A1661" t="str">
            <v>txc-</v>
          </cell>
          <cell r="B1661" t="str">
            <v>txc</v>
          </cell>
        </row>
        <row r="1662">
          <cell r="A1662" t="str">
            <v>txc-</v>
          </cell>
          <cell r="B1662" t="str">
            <v>txc</v>
          </cell>
        </row>
        <row r="1663">
          <cell r="A1663" t="str">
            <v>txc-</v>
          </cell>
          <cell r="B1663" t="str">
            <v>txc</v>
          </cell>
        </row>
        <row r="1664">
          <cell r="A1664" t="str">
            <v>txc-</v>
          </cell>
          <cell r="B1664" t="str">
            <v>txc</v>
          </cell>
        </row>
        <row r="1665">
          <cell r="A1665" t="str">
            <v>txc-</v>
          </cell>
          <cell r="B1665" t="str">
            <v>txc</v>
          </cell>
        </row>
        <row r="1666">
          <cell r="A1666" t="str">
            <v>txc-</v>
          </cell>
          <cell r="B1666" t="str">
            <v>txc</v>
          </cell>
        </row>
        <row r="1667">
          <cell r="A1667" t="str">
            <v>txc-</v>
          </cell>
          <cell r="B1667" t="str">
            <v>txc</v>
          </cell>
        </row>
        <row r="1668">
          <cell r="A1668" t="str">
            <v>txc-</v>
          </cell>
          <cell r="B1668" t="str">
            <v>txc</v>
          </cell>
        </row>
        <row r="1669">
          <cell r="A1669" t="str">
            <v>txc-</v>
          </cell>
          <cell r="B1669" t="str">
            <v>txc</v>
          </cell>
        </row>
        <row r="1670">
          <cell r="A1670" t="str">
            <v>txc-</v>
          </cell>
          <cell r="B1670" t="str">
            <v>txc</v>
          </cell>
        </row>
        <row r="1671">
          <cell r="A1671" t="str">
            <v>txc-</v>
          </cell>
          <cell r="B1671" t="str">
            <v>txc</v>
          </cell>
        </row>
        <row r="1672">
          <cell r="A1672" t="str">
            <v>txc-</v>
          </cell>
          <cell r="B1672" t="str">
            <v>txc</v>
          </cell>
        </row>
        <row r="1673">
          <cell r="A1673" t="str">
            <v>txc-</v>
          </cell>
          <cell r="B1673" t="str">
            <v>txc</v>
          </cell>
        </row>
        <row r="1674">
          <cell r="A1674" t="str">
            <v>txc-</v>
          </cell>
          <cell r="B1674" t="str">
            <v>txc</v>
          </cell>
        </row>
        <row r="1675">
          <cell r="A1675" t="str">
            <v>txc-</v>
          </cell>
          <cell r="B1675" t="str">
            <v>txc</v>
          </cell>
        </row>
        <row r="1676">
          <cell r="A1676" t="str">
            <v>txc-</v>
          </cell>
          <cell r="B1676" t="str">
            <v>txc</v>
          </cell>
        </row>
        <row r="1677">
          <cell r="A1677" t="str">
            <v>txc-</v>
          </cell>
          <cell r="B1677" t="str">
            <v>txc</v>
          </cell>
        </row>
        <row r="1678">
          <cell r="A1678" t="str">
            <v>txc-</v>
          </cell>
          <cell r="B1678" t="str">
            <v>txc</v>
          </cell>
        </row>
        <row r="1679">
          <cell r="A1679" t="str">
            <v>txc-</v>
          </cell>
          <cell r="B1679" t="str">
            <v>txc</v>
          </cell>
        </row>
        <row r="1680">
          <cell r="A1680" t="str">
            <v>txc-</v>
          </cell>
          <cell r="B1680" t="str">
            <v>txc</v>
          </cell>
        </row>
        <row r="1681">
          <cell r="A1681" t="str">
            <v>txc-</v>
          </cell>
          <cell r="B1681" t="str">
            <v>txc</v>
          </cell>
        </row>
        <row r="1682">
          <cell r="A1682" t="str">
            <v>txc-</v>
          </cell>
          <cell r="B1682" t="str">
            <v>txc</v>
          </cell>
        </row>
        <row r="1683">
          <cell r="A1683" t="str">
            <v>txc-</v>
          </cell>
          <cell r="B1683" t="str">
            <v>txc</v>
          </cell>
        </row>
        <row r="1684">
          <cell r="A1684" t="str">
            <v>txc-</v>
          </cell>
          <cell r="B1684" t="str">
            <v>txc</v>
          </cell>
        </row>
        <row r="1685">
          <cell r="A1685" t="str">
            <v>txc-</v>
          </cell>
          <cell r="B1685" t="str">
            <v>txc</v>
          </cell>
        </row>
        <row r="1686">
          <cell r="A1686" t="str">
            <v>txc-</v>
          </cell>
          <cell r="B1686" t="str">
            <v>txc</v>
          </cell>
        </row>
        <row r="1687">
          <cell r="A1687" t="str">
            <v>txc-</v>
          </cell>
          <cell r="B1687" t="str">
            <v>txc</v>
          </cell>
        </row>
        <row r="1688">
          <cell r="A1688" t="str">
            <v>txc-</v>
          </cell>
          <cell r="B1688" t="str">
            <v>txc</v>
          </cell>
        </row>
        <row r="1689">
          <cell r="A1689" t="str">
            <v>txc-</v>
          </cell>
          <cell r="B1689" t="str">
            <v>txc</v>
          </cell>
        </row>
        <row r="1690">
          <cell r="A1690" t="str">
            <v>txc-</v>
          </cell>
          <cell r="B1690" t="str">
            <v>txc</v>
          </cell>
        </row>
        <row r="1691">
          <cell r="A1691" t="str">
            <v>txc-</v>
          </cell>
          <cell r="B1691" t="str">
            <v>txc</v>
          </cell>
        </row>
        <row r="1692">
          <cell r="A1692" t="str">
            <v>txc-</v>
          </cell>
          <cell r="B1692" t="str">
            <v>txc</v>
          </cell>
        </row>
        <row r="1693">
          <cell r="A1693" t="str">
            <v>txc-</v>
          </cell>
          <cell r="B1693" t="str">
            <v>txc</v>
          </cell>
        </row>
        <row r="1694">
          <cell r="A1694" t="str">
            <v>txc-</v>
          </cell>
          <cell r="B1694" t="str">
            <v>txc</v>
          </cell>
        </row>
        <row r="1695">
          <cell r="A1695" t="str">
            <v>txc-</v>
          </cell>
          <cell r="B1695" t="str">
            <v>txc</v>
          </cell>
        </row>
        <row r="1696">
          <cell r="A1696" t="str">
            <v>txc-</v>
          </cell>
          <cell r="B1696" t="str">
            <v>txc</v>
          </cell>
        </row>
        <row r="1697">
          <cell r="A1697" t="str">
            <v>txc-</v>
          </cell>
          <cell r="B1697" t="str">
            <v>txc</v>
          </cell>
        </row>
        <row r="1698">
          <cell r="A1698" t="str">
            <v>txc-</v>
          </cell>
          <cell r="B1698" t="str">
            <v>txc</v>
          </cell>
        </row>
        <row r="1699">
          <cell r="A1699" t="str">
            <v>txc-</v>
          </cell>
          <cell r="B1699" t="str">
            <v>txc</v>
          </cell>
        </row>
        <row r="1700">
          <cell r="A1700" t="str">
            <v>txc-</v>
          </cell>
          <cell r="B1700" t="str">
            <v>txc</v>
          </cell>
        </row>
        <row r="1701">
          <cell r="A1701" t="str">
            <v>txc-</v>
          </cell>
          <cell r="B1701" t="str">
            <v>txc</v>
          </cell>
        </row>
        <row r="1702">
          <cell r="A1702" t="str">
            <v>txc-</v>
          </cell>
          <cell r="B1702" t="str">
            <v>txc</v>
          </cell>
        </row>
        <row r="1703">
          <cell r="A1703" t="str">
            <v>txc-</v>
          </cell>
          <cell r="B1703" t="str">
            <v>txc</v>
          </cell>
        </row>
        <row r="1704">
          <cell r="A1704" t="str">
            <v>txc-</v>
          </cell>
          <cell r="B1704" t="str">
            <v>txc</v>
          </cell>
        </row>
        <row r="1705">
          <cell r="A1705" t="str">
            <v>txc-</v>
          </cell>
          <cell r="B1705" t="str">
            <v>txc</v>
          </cell>
        </row>
        <row r="1706">
          <cell r="A1706" t="str">
            <v>txc-</v>
          </cell>
          <cell r="B1706" t="str">
            <v>txc</v>
          </cell>
        </row>
        <row r="1707">
          <cell r="A1707" t="str">
            <v>txc-</v>
          </cell>
          <cell r="B1707" t="str">
            <v>txc</v>
          </cell>
        </row>
        <row r="1708">
          <cell r="A1708" t="str">
            <v>txc-</v>
          </cell>
          <cell r="B1708" t="str">
            <v>txc</v>
          </cell>
        </row>
        <row r="1709">
          <cell r="A1709" t="str">
            <v>txc-</v>
          </cell>
          <cell r="B1709" t="str">
            <v>txc</v>
          </cell>
        </row>
        <row r="1710">
          <cell r="A1710" t="str">
            <v>txc-</v>
          </cell>
          <cell r="B1710" t="str">
            <v>txc</v>
          </cell>
        </row>
        <row r="1711">
          <cell r="A1711" t="str">
            <v>txc-</v>
          </cell>
          <cell r="B1711" t="str">
            <v>txc</v>
          </cell>
        </row>
        <row r="1712">
          <cell r="A1712" t="str">
            <v>txc-</v>
          </cell>
          <cell r="B1712" t="str">
            <v>txc</v>
          </cell>
        </row>
        <row r="1713">
          <cell r="A1713" t="str">
            <v>txc-</v>
          </cell>
          <cell r="B1713" t="str">
            <v>txc</v>
          </cell>
        </row>
        <row r="1714">
          <cell r="A1714" t="str">
            <v>txc-</v>
          </cell>
          <cell r="B1714" t="str">
            <v>txc</v>
          </cell>
        </row>
        <row r="1715">
          <cell r="A1715" t="str">
            <v>txc-</v>
          </cell>
          <cell r="B1715" t="str">
            <v>txc</v>
          </cell>
        </row>
        <row r="1716">
          <cell r="A1716" t="str">
            <v>txc-</v>
          </cell>
          <cell r="B1716" t="str">
            <v>txc</v>
          </cell>
        </row>
        <row r="1717">
          <cell r="A1717" t="str">
            <v>txc-</v>
          </cell>
          <cell r="B1717" t="str">
            <v>txc</v>
          </cell>
        </row>
        <row r="1718">
          <cell r="A1718" t="str">
            <v>txc-</v>
          </cell>
          <cell r="B1718" t="str">
            <v>txc</v>
          </cell>
        </row>
        <row r="1719">
          <cell r="A1719" t="str">
            <v>txc-</v>
          </cell>
          <cell r="B1719" t="str">
            <v>txc</v>
          </cell>
        </row>
        <row r="1720">
          <cell r="A1720" t="str">
            <v>txc-</v>
          </cell>
          <cell r="B1720" t="str">
            <v>txc</v>
          </cell>
        </row>
        <row r="1721">
          <cell r="A1721" t="str">
            <v>txc-</v>
          </cell>
          <cell r="B1721" t="str">
            <v>txc</v>
          </cell>
        </row>
        <row r="1722">
          <cell r="A1722" t="str">
            <v>txc-</v>
          </cell>
          <cell r="B1722" t="str">
            <v>txc</v>
          </cell>
        </row>
        <row r="1723">
          <cell r="A1723" t="str">
            <v>txc-</v>
          </cell>
          <cell r="B1723" t="str">
            <v>txc</v>
          </cell>
        </row>
        <row r="1724">
          <cell r="A1724" t="str">
            <v>txc-</v>
          </cell>
          <cell r="B1724" t="str">
            <v>txc</v>
          </cell>
        </row>
        <row r="1725">
          <cell r="A1725" t="str">
            <v>txc-</v>
          </cell>
          <cell r="B1725" t="str">
            <v>txc</v>
          </cell>
        </row>
        <row r="1726">
          <cell r="A1726" t="str">
            <v>txc-</v>
          </cell>
          <cell r="B1726" t="str">
            <v>txc</v>
          </cell>
        </row>
        <row r="1727">
          <cell r="A1727" t="str">
            <v>txc-</v>
          </cell>
          <cell r="B1727" t="str">
            <v>txc</v>
          </cell>
        </row>
        <row r="1728">
          <cell r="A1728" t="str">
            <v>txc-</v>
          </cell>
          <cell r="B1728" t="str">
            <v>txc</v>
          </cell>
        </row>
        <row r="1729">
          <cell r="A1729" t="str">
            <v>txc-</v>
          </cell>
          <cell r="B1729" t="str">
            <v>txc</v>
          </cell>
        </row>
        <row r="1730">
          <cell r="A1730" t="str">
            <v>txc-</v>
          </cell>
          <cell r="B1730" t="str">
            <v>txc</v>
          </cell>
        </row>
        <row r="1731">
          <cell r="A1731" t="str">
            <v>txc-</v>
          </cell>
          <cell r="B1731" t="str">
            <v>txc</v>
          </cell>
        </row>
        <row r="1732">
          <cell r="A1732" t="str">
            <v>txc-</v>
          </cell>
          <cell r="B1732" t="str">
            <v>txc</v>
          </cell>
        </row>
        <row r="1733">
          <cell r="A1733" t="str">
            <v>txc-</v>
          </cell>
          <cell r="B1733" t="str">
            <v>txc</v>
          </cell>
        </row>
        <row r="1734">
          <cell r="A1734" t="str">
            <v>txc-</v>
          </cell>
          <cell r="B1734" t="str">
            <v>txc</v>
          </cell>
        </row>
        <row r="1735">
          <cell r="A1735" t="str">
            <v>txc-</v>
          </cell>
          <cell r="B1735" t="str">
            <v>txc</v>
          </cell>
        </row>
        <row r="1736">
          <cell r="A1736" t="str">
            <v>txc-</v>
          </cell>
          <cell r="B1736" t="str">
            <v>txc</v>
          </cell>
        </row>
        <row r="1737">
          <cell r="A1737" t="str">
            <v>txc-</v>
          </cell>
          <cell r="B1737" t="str">
            <v>txc</v>
          </cell>
        </row>
        <row r="1738">
          <cell r="A1738" t="str">
            <v>txc-</v>
          </cell>
          <cell r="B1738" t="str">
            <v>txc</v>
          </cell>
        </row>
        <row r="1739">
          <cell r="A1739" t="str">
            <v>txc-</v>
          </cell>
          <cell r="B1739" t="str">
            <v>txc</v>
          </cell>
        </row>
        <row r="1740">
          <cell r="A1740" t="str">
            <v>txc-</v>
          </cell>
          <cell r="B1740" t="str">
            <v>txc</v>
          </cell>
        </row>
        <row r="1741">
          <cell r="A1741" t="str">
            <v>txc-</v>
          </cell>
          <cell r="B1741" t="str">
            <v>txc</v>
          </cell>
        </row>
        <row r="1742">
          <cell r="A1742" t="str">
            <v>txc-</v>
          </cell>
          <cell r="B1742" t="str">
            <v>txc</v>
          </cell>
        </row>
        <row r="1743">
          <cell r="A1743" t="str">
            <v>txc-</v>
          </cell>
          <cell r="B1743" t="str">
            <v>txc</v>
          </cell>
        </row>
        <row r="1744">
          <cell r="A1744" t="str">
            <v>txc-</v>
          </cell>
          <cell r="B1744" t="str">
            <v>txc</v>
          </cell>
        </row>
        <row r="1745">
          <cell r="A1745" t="str">
            <v>txc-</v>
          </cell>
          <cell r="B1745" t="str">
            <v>txc</v>
          </cell>
        </row>
        <row r="1746">
          <cell r="A1746" t="str">
            <v>txc-</v>
          </cell>
          <cell r="B1746" t="str">
            <v>txc</v>
          </cell>
        </row>
        <row r="1747">
          <cell r="A1747" t="str">
            <v>txc-</v>
          </cell>
          <cell r="B1747" t="str">
            <v>txc</v>
          </cell>
        </row>
        <row r="1748">
          <cell r="A1748" t="str">
            <v>txc-</v>
          </cell>
          <cell r="B1748" t="str">
            <v>txc</v>
          </cell>
        </row>
        <row r="1749">
          <cell r="A1749" t="str">
            <v>txc-</v>
          </cell>
          <cell r="B1749" t="str">
            <v>txc</v>
          </cell>
        </row>
        <row r="1750">
          <cell r="A1750" t="str">
            <v>txc-</v>
          </cell>
          <cell r="B1750" t="str">
            <v>txc</v>
          </cell>
        </row>
        <row r="1751">
          <cell r="A1751" t="str">
            <v>txc-</v>
          </cell>
          <cell r="B1751" t="str">
            <v>txc</v>
          </cell>
        </row>
        <row r="1752">
          <cell r="A1752" t="str">
            <v>txc-</v>
          </cell>
          <cell r="B1752" t="str">
            <v>txc</v>
          </cell>
        </row>
        <row r="1753">
          <cell r="A1753" t="str">
            <v>txc-</v>
          </cell>
          <cell r="B1753" t="str">
            <v>txc</v>
          </cell>
        </row>
        <row r="1754">
          <cell r="A1754" t="str">
            <v>txc-</v>
          </cell>
          <cell r="B1754" t="str">
            <v>txc</v>
          </cell>
        </row>
        <row r="1755">
          <cell r="A1755" t="str">
            <v>txc-</v>
          </cell>
          <cell r="B1755" t="str">
            <v>txc</v>
          </cell>
        </row>
        <row r="1756">
          <cell r="A1756" t="str">
            <v>txc-</v>
          </cell>
          <cell r="B1756" t="str">
            <v>txc</v>
          </cell>
        </row>
        <row r="1757">
          <cell r="A1757" t="str">
            <v>txc-</v>
          </cell>
          <cell r="B1757" t="str">
            <v>txc</v>
          </cell>
        </row>
        <row r="1758">
          <cell r="A1758" t="str">
            <v>txc-</v>
          </cell>
          <cell r="B1758" t="str">
            <v>txc</v>
          </cell>
        </row>
        <row r="1759">
          <cell r="A1759" t="str">
            <v>txc-</v>
          </cell>
          <cell r="B1759" t="str">
            <v>txc</v>
          </cell>
        </row>
        <row r="1760">
          <cell r="A1760" t="str">
            <v>txc-</v>
          </cell>
          <cell r="B1760" t="str">
            <v>txc</v>
          </cell>
        </row>
        <row r="1761">
          <cell r="A1761" t="str">
            <v>txc-</v>
          </cell>
          <cell r="B1761" t="str">
            <v>txc</v>
          </cell>
        </row>
        <row r="1762">
          <cell r="A1762" t="str">
            <v>txc-</v>
          </cell>
          <cell r="B1762" t="str">
            <v>txc</v>
          </cell>
        </row>
        <row r="1763">
          <cell r="A1763" t="str">
            <v>txc-</v>
          </cell>
          <cell r="B1763" t="str">
            <v>txc</v>
          </cell>
        </row>
        <row r="1764">
          <cell r="A1764" t="str">
            <v>txc-</v>
          </cell>
          <cell r="B1764" t="str">
            <v>txc</v>
          </cell>
        </row>
        <row r="1765">
          <cell r="A1765" t="str">
            <v>txc-</v>
          </cell>
          <cell r="B1765" t="str">
            <v>txc</v>
          </cell>
        </row>
        <row r="1766">
          <cell r="A1766" t="str">
            <v>txc-</v>
          </cell>
          <cell r="B1766" t="str">
            <v>txc</v>
          </cell>
        </row>
        <row r="1767">
          <cell r="A1767" t="str">
            <v>txc-</v>
          </cell>
          <cell r="B1767" t="str">
            <v>txc</v>
          </cell>
        </row>
        <row r="1768">
          <cell r="A1768" t="str">
            <v>txc-</v>
          </cell>
          <cell r="B1768" t="str">
            <v>txc</v>
          </cell>
        </row>
        <row r="1769">
          <cell r="A1769" t="str">
            <v>txc-</v>
          </cell>
          <cell r="B1769" t="str">
            <v>txc</v>
          </cell>
        </row>
        <row r="1770">
          <cell r="A1770" t="str">
            <v>txc-</v>
          </cell>
          <cell r="B1770" t="str">
            <v>txc</v>
          </cell>
        </row>
        <row r="1771">
          <cell r="A1771" t="str">
            <v>txc-</v>
          </cell>
          <cell r="B1771" t="str">
            <v>txc</v>
          </cell>
        </row>
        <row r="1772">
          <cell r="A1772" t="str">
            <v>txc-</v>
          </cell>
          <cell r="B1772" t="str">
            <v>txc</v>
          </cell>
        </row>
        <row r="1773">
          <cell r="A1773" t="str">
            <v>txc-</v>
          </cell>
          <cell r="B1773" t="str">
            <v>txc</v>
          </cell>
        </row>
        <row r="1774">
          <cell r="A1774" t="str">
            <v>txc-</v>
          </cell>
          <cell r="B1774" t="str">
            <v>txc</v>
          </cell>
        </row>
        <row r="1775">
          <cell r="A1775" t="str">
            <v>txc-</v>
          </cell>
          <cell r="B1775" t="str">
            <v>txc</v>
          </cell>
        </row>
        <row r="1776">
          <cell r="A1776" t="str">
            <v>txc-</v>
          </cell>
          <cell r="B1776" t="str">
            <v>txc</v>
          </cell>
        </row>
        <row r="1777">
          <cell r="A1777" t="str">
            <v>txc-</v>
          </cell>
          <cell r="B1777" t="str">
            <v>txc</v>
          </cell>
        </row>
        <row r="1778">
          <cell r="A1778" t="str">
            <v>txc-</v>
          </cell>
          <cell r="B1778" t="str">
            <v>txc</v>
          </cell>
        </row>
        <row r="1779">
          <cell r="A1779" t="str">
            <v>txc-</v>
          </cell>
          <cell r="B1779" t="str">
            <v>txc</v>
          </cell>
        </row>
        <row r="1780">
          <cell r="A1780" t="str">
            <v>txc-</v>
          </cell>
          <cell r="B1780" t="str">
            <v>txc</v>
          </cell>
        </row>
        <row r="1781">
          <cell r="A1781" t="str">
            <v>txc-</v>
          </cell>
          <cell r="B1781" t="str">
            <v>txc</v>
          </cell>
        </row>
        <row r="1782">
          <cell r="A1782" t="str">
            <v>txc-</v>
          </cell>
          <cell r="B1782" t="str">
            <v>txc</v>
          </cell>
        </row>
        <row r="1783">
          <cell r="A1783" t="str">
            <v>txc-</v>
          </cell>
          <cell r="B1783" t="str">
            <v>txc</v>
          </cell>
        </row>
        <row r="1784">
          <cell r="A1784" t="str">
            <v>txc-</v>
          </cell>
          <cell r="B1784" t="str">
            <v>txc</v>
          </cell>
        </row>
        <row r="1785">
          <cell r="A1785" t="str">
            <v>txc-</v>
          </cell>
          <cell r="B1785" t="str">
            <v>txc</v>
          </cell>
        </row>
        <row r="1786">
          <cell r="A1786" t="str">
            <v>txc-</v>
          </cell>
          <cell r="B1786" t="str">
            <v>txc</v>
          </cell>
        </row>
        <row r="1787">
          <cell r="A1787" t="str">
            <v>txc-</v>
          </cell>
          <cell r="B1787" t="str">
            <v>txc</v>
          </cell>
        </row>
        <row r="1788">
          <cell r="A1788" t="str">
            <v>txc-</v>
          </cell>
          <cell r="B1788" t="str">
            <v>txc</v>
          </cell>
        </row>
        <row r="1789">
          <cell r="A1789" t="str">
            <v>txc-</v>
          </cell>
          <cell r="B1789" t="str">
            <v>txc</v>
          </cell>
        </row>
        <row r="1790">
          <cell r="A1790" t="str">
            <v>txc-</v>
          </cell>
          <cell r="B1790" t="str">
            <v>txc</v>
          </cell>
        </row>
        <row r="1791">
          <cell r="A1791" t="str">
            <v>txc-</v>
          </cell>
          <cell r="B1791" t="str">
            <v>txc</v>
          </cell>
        </row>
        <row r="1792">
          <cell r="A1792" t="str">
            <v>txc-</v>
          </cell>
          <cell r="B1792" t="str">
            <v>txc</v>
          </cell>
        </row>
        <row r="1793">
          <cell r="A1793" t="str">
            <v>txc-</v>
          </cell>
          <cell r="B1793" t="str">
            <v>txc</v>
          </cell>
        </row>
        <row r="1794">
          <cell r="A1794" t="str">
            <v>txc-</v>
          </cell>
          <cell r="B1794" t="str">
            <v>txc</v>
          </cell>
        </row>
        <row r="1795">
          <cell r="A1795" t="str">
            <v>txc-</v>
          </cell>
          <cell r="B1795" t="str">
            <v>txc</v>
          </cell>
        </row>
        <row r="1796">
          <cell r="A1796" t="str">
            <v>txc-</v>
          </cell>
          <cell r="B1796" t="str">
            <v>txc</v>
          </cell>
        </row>
        <row r="1797">
          <cell r="A1797" t="str">
            <v>txc-</v>
          </cell>
          <cell r="B1797" t="str">
            <v>txc</v>
          </cell>
        </row>
        <row r="1798">
          <cell r="A1798" t="str">
            <v>txc-</v>
          </cell>
          <cell r="B1798" t="str">
            <v>txc</v>
          </cell>
        </row>
        <row r="1799">
          <cell r="A1799" t="str">
            <v>txc-</v>
          </cell>
          <cell r="B1799" t="str">
            <v>txc</v>
          </cell>
        </row>
        <row r="1800">
          <cell r="A1800" t="str">
            <v>txc-</v>
          </cell>
          <cell r="B1800" t="str">
            <v>txc</v>
          </cell>
        </row>
        <row r="1801">
          <cell r="A1801" t="str">
            <v>txc-</v>
          </cell>
          <cell r="B1801" t="str">
            <v>txc</v>
          </cell>
        </row>
        <row r="1802">
          <cell r="A1802" t="str">
            <v>txc-</v>
          </cell>
          <cell r="B1802" t="str">
            <v>txc</v>
          </cell>
        </row>
        <row r="1803">
          <cell r="A1803" t="str">
            <v>txc-</v>
          </cell>
          <cell r="B1803" t="str">
            <v>txc</v>
          </cell>
        </row>
        <row r="1804">
          <cell r="A1804" t="str">
            <v>txc-</v>
          </cell>
          <cell r="B1804" t="str">
            <v>txc</v>
          </cell>
        </row>
        <row r="1805">
          <cell r="A1805" t="str">
            <v>txc-</v>
          </cell>
          <cell r="B1805" t="str">
            <v>txc</v>
          </cell>
        </row>
        <row r="1806">
          <cell r="A1806" t="str">
            <v>txc-</v>
          </cell>
          <cell r="B1806" t="str">
            <v>txc</v>
          </cell>
        </row>
        <row r="1807">
          <cell r="A1807" t="str">
            <v>txc-</v>
          </cell>
          <cell r="B1807" t="str">
            <v>txc</v>
          </cell>
        </row>
        <row r="1808">
          <cell r="A1808" t="str">
            <v>txc-</v>
          </cell>
          <cell r="B1808" t="str">
            <v>txc</v>
          </cell>
        </row>
        <row r="1809">
          <cell r="A1809" t="str">
            <v>txc-</v>
          </cell>
          <cell r="B1809" t="str">
            <v>txc</v>
          </cell>
        </row>
        <row r="1810">
          <cell r="A1810" t="str">
            <v>txc-</v>
          </cell>
          <cell r="B1810" t="str">
            <v>txc</v>
          </cell>
        </row>
        <row r="1811">
          <cell r="A1811" t="str">
            <v>txc-</v>
          </cell>
          <cell r="B1811" t="str">
            <v>txc</v>
          </cell>
        </row>
        <row r="1812">
          <cell r="A1812" t="str">
            <v>txc-</v>
          </cell>
          <cell r="B1812" t="str">
            <v>txc</v>
          </cell>
        </row>
        <row r="1813">
          <cell r="A1813" t="str">
            <v>txc-</v>
          </cell>
          <cell r="B1813" t="str">
            <v>txc</v>
          </cell>
        </row>
        <row r="1814">
          <cell r="A1814" t="str">
            <v>txc-</v>
          </cell>
          <cell r="B1814" t="str">
            <v>txc</v>
          </cell>
        </row>
        <row r="1815">
          <cell r="A1815" t="str">
            <v>txc-</v>
          </cell>
          <cell r="B1815" t="str">
            <v>txc</v>
          </cell>
        </row>
        <row r="1816">
          <cell r="A1816" t="str">
            <v>txc-</v>
          </cell>
          <cell r="B1816" t="str">
            <v>txc</v>
          </cell>
        </row>
        <row r="1817">
          <cell r="A1817" t="str">
            <v>txc-</v>
          </cell>
          <cell r="B1817" t="str">
            <v>txc</v>
          </cell>
        </row>
        <row r="1818">
          <cell r="A1818" t="str">
            <v>txc-</v>
          </cell>
          <cell r="B1818" t="str">
            <v>txc</v>
          </cell>
        </row>
        <row r="1819">
          <cell r="A1819" t="str">
            <v>txc-</v>
          </cell>
          <cell r="B1819" t="str">
            <v>txc</v>
          </cell>
        </row>
        <row r="1820">
          <cell r="A1820" t="str">
            <v>txc-</v>
          </cell>
          <cell r="B1820" t="str">
            <v>txc</v>
          </cell>
        </row>
        <row r="1821">
          <cell r="A1821" t="str">
            <v>txc-</v>
          </cell>
          <cell r="B1821" t="str">
            <v>txc</v>
          </cell>
        </row>
        <row r="1822">
          <cell r="A1822" t="str">
            <v>txc-</v>
          </cell>
          <cell r="B1822" t="str">
            <v>txc</v>
          </cell>
        </row>
        <row r="1823">
          <cell r="A1823" t="str">
            <v>txc-</v>
          </cell>
          <cell r="B1823" t="str">
            <v>txc</v>
          </cell>
        </row>
        <row r="1824">
          <cell r="A1824" t="str">
            <v>txc-</v>
          </cell>
          <cell r="B1824" t="str">
            <v>txc</v>
          </cell>
        </row>
        <row r="1825">
          <cell r="A1825" t="str">
            <v>txc-</v>
          </cell>
          <cell r="B1825" t="str">
            <v>txc</v>
          </cell>
        </row>
        <row r="1826">
          <cell r="A1826" t="str">
            <v>txc-</v>
          </cell>
          <cell r="B1826" t="str">
            <v>txc</v>
          </cell>
        </row>
        <row r="1827">
          <cell r="A1827" t="str">
            <v>txc-</v>
          </cell>
          <cell r="B1827" t="str">
            <v>txc</v>
          </cell>
        </row>
        <row r="1828">
          <cell r="A1828" t="str">
            <v>txc-</v>
          </cell>
          <cell r="B1828" t="str">
            <v>txc</v>
          </cell>
        </row>
        <row r="1829">
          <cell r="A1829" t="str">
            <v>txc-</v>
          </cell>
          <cell r="B1829" t="str">
            <v>txc</v>
          </cell>
        </row>
        <row r="1830">
          <cell r="A1830" t="str">
            <v>txc-</v>
          </cell>
          <cell r="B1830" t="str">
            <v>txc</v>
          </cell>
        </row>
        <row r="1831">
          <cell r="A1831" t="str">
            <v>txc-</v>
          </cell>
          <cell r="B1831" t="str">
            <v>txc</v>
          </cell>
        </row>
        <row r="1832">
          <cell r="A1832" t="str">
            <v>txc-</v>
          </cell>
          <cell r="B1832" t="str">
            <v>txc</v>
          </cell>
        </row>
        <row r="1833">
          <cell r="A1833" t="str">
            <v>txc-</v>
          </cell>
          <cell r="B1833" t="str">
            <v>txc</v>
          </cell>
        </row>
        <row r="1834">
          <cell r="A1834" t="str">
            <v>txc-</v>
          </cell>
          <cell r="B1834" t="str">
            <v>txc</v>
          </cell>
        </row>
        <row r="1835">
          <cell r="A1835" t="str">
            <v>txc-</v>
          </cell>
          <cell r="B1835" t="str">
            <v>txc</v>
          </cell>
        </row>
        <row r="1836">
          <cell r="A1836" t="str">
            <v>txc-</v>
          </cell>
          <cell r="B1836" t="str">
            <v>txc</v>
          </cell>
        </row>
        <row r="1837">
          <cell r="A1837" t="str">
            <v>txc-</v>
          </cell>
          <cell r="B1837" t="str">
            <v>txc</v>
          </cell>
        </row>
        <row r="1838">
          <cell r="A1838" t="str">
            <v>txc-</v>
          </cell>
          <cell r="B1838" t="str">
            <v>txc</v>
          </cell>
        </row>
        <row r="1839">
          <cell r="A1839" t="str">
            <v>txc-</v>
          </cell>
          <cell r="B1839" t="str">
            <v>txc</v>
          </cell>
        </row>
        <row r="1840">
          <cell r="A1840" t="str">
            <v>txc-</v>
          </cell>
          <cell r="B1840" t="str">
            <v>txc</v>
          </cell>
        </row>
        <row r="1841">
          <cell r="A1841" t="str">
            <v>txc-</v>
          </cell>
          <cell r="B1841" t="str">
            <v>txc</v>
          </cell>
        </row>
        <row r="1842">
          <cell r="A1842" t="str">
            <v>txc-</v>
          </cell>
          <cell r="B1842" t="str">
            <v>txc</v>
          </cell>
        </row>
        <row r="1843">
          <cell r="A1843" t="str">
            <v>txc-</v>
          </cell>
          <cell r="B1843" t="str">
            <v>txc</v>
          </cell>
        </row>
        <row r="1844">
          <cell r="A1844" t="str">
            <v>txc-</v>
          </cell>
          <cell r="B1844" t="str">
            <v>txc</v>
          </cell>
        </row>
        <row r="1845">
          <cell r="A1845" t="str">
            <v>txc-</v>
          </cell>
          <cell r="B1845" t="str">
            <v>txc</v>
          </cell>
        </row>
        <row r="1846">
          <cell r="A1846" t="str">
            <v>txc-</v>
          </cell>
          <cell r="B1846" t="str">
            <v>txc</v>
          </cell>
        </row>
        <row r="1847">
          <cell r="A1847" t="str">
            <v>txc-</v>
          </cell>
          <cell r="B1847" t="str">
            <v>txc</v>
          </cell>
        </row>
        <row r="1848">
          <cell r="A1848" t="str">
            <v>txc-</v>
          </cell>
          <cell r="B1848" t="str">
            <v>txc</v>
          </cell>
        </row>
        <row r="1849">
          <cell r="A1849" t="str">
            <v>txc-</v>
          </cell>
          <cell r="B1849" t="str">
            <v>txc</v>
          </cell>
        </row>
        <row r="1850">
          <cell r="A1850" t="str">
            <v>txc-</v>
          </cell>
          <cell r="B1850" t="str">
            <v>txc</v>
          </cell>
        </row>
        <row r="1851">
          <cell r="A1851" t="str">
            <v>txc-</v>
          </cell>
          <cell r="B1851" t="str">
            <v>txc</v>
          </cell>
        </row>
        <row r="1852">
          <cell r="A1852" t="str">
            <v>txc-</v>
          </cell>
          <cell r="B1852" t="str">
            <v>txc</v>
          </cell>
        </row>
        <row r="1853">
          <cell r="A1853" t="str">
            <v>txc-</v>
          </cell>
          <cell r="B1853" t="str">
            <v>txc</v>
          </cell>
        </row>
        <row r="1854">
          <cell r="A1854" t="str">
            <v>txc-</v>
          </cell>
          <cell r="B1854" t="str">
            <v>txc</v>
          </cell>
        </row>
        <row r="1855">
          <cell r="A1855" t="str">
            <v>txc-</v>
          </cell>
          <cell r="B1855" t="str">
            <v>txc</v>
          </cell>
        </row>
        <row r="1856">
          <cell r="A1856" t="str">
            <v>txc-</v>
          </cell>
          <cell r="B1856" t="str">
            <v>txc</v>
          </cell>
        </row>
        <row r="1857">
          <cell r="A1857" t="str">
            <v>txc-</v>
          </cell>
          <cell r="B1857" t="str">
            <v>txc</v>
          </cell>
        </row>
        <row r="1858">
          <cell r="A1858" t="str">
            <v>txc-</v>
          </cell>
          <cell r="B1858" t="str">
            <v>txc</v>
          </cell>
        </row>
        <row r="1859">
          <cell r="A1859" t="str">
            <v>txc-</v>
          </cell>
          <cell r="B1859" t="str">
            <v>txc</v>
          </cell>
        </row>
        <row r="1860">
          <cell r="A1860" t="str">
            <v>txc-</v>
          </cell>
          <cell r="B1860" t="str">
            <v>txc</v>
          </cell>
        </row>
        <row r="1861">
          <cell r="A1861" t="str">
            <v>txc-</v>
          </cell>
          <cell r="B1861" t="str">
            <v>txc</v>
          </cell>
        </row>
        <row r="1862">
          <cell r="A1862" t="str">
            <v>txc-</v>
          </cell>
          <cell r="B1862" t="str">
            <v>txc</v>
          </cell>
        </row>
        <row r="1863">
          <cell r="A1863" t="str">
            <v>txc-</v>
          </cell>
          <cell r="B1863" t="str">
            <v>txc</v>
          </cell>
        </row>
        <row r="1864">
          <cell r="A1864" t="str">
            <v>txc-</v>
          </cell>
          <cell r="B1864" t="str">
            <v>txc</v>
          </cell>
        </row>
        <row r="1865">
          <cell r="A1865" t="str">
            <v>txc-</v>
          </cell>
          <cell r="B1865" t="str">
            <v>txc</v>
          </cell>
        </row>
        <row r="1866">
          <cell r="A1866" t="str">
            <v>txc-</v>
          </cell>
          <cell r="B1866" t="str">
            <v>txc</v>
          </cell>
        </row>
        <row r="1867">
          <cell r="A1867" t="str">
            <v>txc-</v>
          </cell>
          <cell r="B1867" t="str">
            <v>txc</v>
          </cell>
        </row>
        <row r="1868">
          <cell r="A1868" t="str">
            <v>txc-</v>
          </cell>
          <cell r="B1868" t="str">
            <v>txc</v>
          </cell>
        </row>
        <row r="1869">
          <cell r="A1869" t="str">
            <v>txc-</v>
          </cell>
          <cell r="B1869" t="str">
            <v>txc</v>
          </cell>
        </row>
        <row r="1870">
          <cell r="A1870" t="str">
            <v>txc-</v>
          </cell>
          <cell r="B1870" t="str">
            <v>txc</v>
          </cell>
        </row>
        <row r="1871">
          <cell r="A1871" t="str">
            <v>txc-</v>
          </cell>
          <cell r="B1871" t="str">
            <v>txc</v>
          </cell>
        </row>
        <row r="1872">
          <cell r="A1872" t="str">
            <v>txc-</v>
          </cell>
          <cell r="B1872" t="str">
            <v>txc</v>
          </cell>
        </row>
        <row r="1873">
          <cell r="A1873" t="str">
            <v>txc-</v>
          </cell>
          <cell r="B1873" t="str">
            <v>txc</v>
          </cell>
        </row>
        <row r="1874">
          <cell r="A1874" t="str">
            <v>txc-</v>
          </cell>
          <cell r="B1874" t="str">
            <v>txc</v>
          </cell>
        </row>
        <row r="1875">
          <cell r="A1875" t="str">
            <v>txc-</v>
          </cell>
          <cell r="B1875" t="str">
            <v>txc</v>
          </cell>
        </row>
        <row r="1876">
          <cell r="A1876" t="str">
            <v>txc-</v>
          </cell>
          <cell r="B1876" t="str">
            <v>txc</v>
          </cell>
        </row>
        <row r="1877">
          <cell r="A1877" t="str">
            <v>txc-</v>
          </cell>
          <cell r="B1877" t="str">
            <v>txc</v>
          </cell>
        </row>
        <row r="1878">
          <cell r="A1878" t="str">
            <v>txc-</v>
          </cell>
          <cell r="B1878" t="str">
            <v>txc</v>
          </cell>
        </row>
        <row r="1879">
          <cell r="A1879" t="str">
            <v>txc-</v>
          </cell>
          <cell r="B1879" t="str">
            <v>txc</v>
          </cell>
        </row>
        <row r="1880">
          <cell r="A1880" t="str">
            <v>txc-</v>
          </cell>
          <cell r="B1880" t="str">
            <v>txc</v>
          </cell>
        </row>
        <row r="1881">
          <cell r="A1881" t="str">
            <v>txc-</v>
          </cell>
          <cell r="B1881" t="str">
            <v>txc</v>
          </cell>
        </row>
        <row r="1882">
          <cell r="A1882" t="str">
            <v>txc-</v>
          </cell>
          <cell r="B1882" t="str">
            <v>txc</v>
          </cell>
        </row>
        <row r="1883">
          <cell r="A1883" t="str">
            <v>txc-</v>
          </cell>
          <cell r="B1883" t="str">
            <v>txc</v>
          </cell>
        </row>
        <row r="1884">
          <cell r="A1884" t="str">
            <v>txc-</v>
          </cell>
          <cell r="B1884" t="str">
            <v>txc</v>
          </cell>
        </row>
        <row r="1885">
          <cell r="A1885" t="str">
            <v>txc-</v>
          </cell>
          <cell r="B1885" t="str">
            <v>txc</v>
          </cell>
        </row>
        <row r="1886">
          <cell r="A1886" t="str">
            <v>txc-</v>
          </cell>
          <cell r="B1886" t="str">
            <v>txc</v>
          </cell>
        </row>
        <row r="1887">
          <cell r="A1887" t="str">
            <v>txc-</v>
          </cell>
          <cell r="B1887" t="str">
            <v>txc</v>
          </cell>
        </row>
        <row r="1888">
          <cell r="A1888" t="str">
            <v>txc-</v>
          </cell>
          <cell r="B1888" t="str">
            <v>txc</v>
          </cell>
        </row>
        <row r="1889">
          <cell r="A1889" t="str">
            <v>txc-</v>
          </cell>
          <cell r="B1889" t="str">
            <v>txc</v>
          </cell>
        </row>
        <row r="1890">
          <cell r="A1890" t="str">
            <v>txc-</v>
          </cell>
          <cell r="B1890" t="str">
            <v>txc</v>
          </cell>
        </row>
        <row r="1891">
          <cell r="A1891" t="str">
            <v>txc-</v>
          </cell>
          <cell r="B1891" t="str">
            <v>txc</v>
          </cell>
        </row>
        <row r="1892">
          <cell r="A1892" t="str">
            <v>txc-</v>
          </cell>
          <cell r="B1892" t="str">
            <v>txc</v>
          </cell>
        </row>
        <row r="1893">
          <cell r="A1893" t="str">
            <v>txc-</v>
          </cell>
          <cell r="B1893" t="str">
            <v>txc</v>
          </cell>
        </row>
        <row r="1894">
          <cell r="A1894" t="str">
            <v>txc-</v>
          </cell>
          <cell r="B1894" t="str">
            <v>txc</v>
          </cell>
        </row>
        <row r="1895">
          <cell r="A1895" t="str">
            <v>txc-</v>
          </cell>
          <cell r="B1895" t="str">
            <v>txc</v>
          </cell>
        </row>
        <row r="1896">
          <cell r="A1896" t="str">
            <v>txc-</v>
          </cell>
          <cell r="B1896" t="str">
            <v>txc</v>
          </cell>
        </row>
        <row r="1897">
          <cell r="A1897" t="str">
            <v>txc-</v>
          </cell>
          <cell r="B1897" t="str">
            <v>txc</v>
          </cell>
        </row>
        <row r="1898">
          <cell r="A1898" t="str">
            <v>txc-</v>
          </cell>
          <cell r="B1898" t="str">
            <v>txc</v>
          </cell>
        </row>
        <row r="1899">
          <cell r="A1899" t="str">
            <v>txc-</v>
          </cell>
          <cell r="B1899" t="str">
            <v>txc</v>
          </cell>
        </row>
        <row r="1900">
          <cell r="A1900" t="str">
            <v>txc-</v>
          </cell>
          <cell r="B1900" t="str">
            <v>txc</v>
          </cell>
        </row>
        <row r="1901">
          <cell r="A1901" t="str">
            <v>txc-</v>
          </cell>
          <cell r="B1901" t="str">
            <v>txc</v>
          </cell>
        </row>
        <row r="1902">
          <cell r="A1902" t="str">
            <v>txc-</v>
          </cell>
          <cell r="B1902" t="str">
            <v>txc</v>
          </cell>
        </row>
        <row r="1903">
          <cell r="A1903" t="str">
            <v>txc-</v>
          </cell>
          <cell r="B1903" t="str">
            <v>txc</v>
          </cell>
        </row>
        <row r="1904">
          <cell r="A1904" t="str">
            <v>txc-</v>
          </cell>
          <cell r="B1904" t="str">
            <v>txc</v>
          </cell>
        </row>
        <row r="1905">
          <cell r="A1905" t="str">
            <v>txc-</v>
          </cell>
          <cell r="B1905" t="str">
            <v>txc</v>
          </cell>
        </row>
        <row r="1906">
          <cell r="A1906" t="str">
            <v>txc-</v>
          </cell>
          <cell r="B1906" t="str">
            <v>txc</v>
          </cell>
        </row>
        <row r="1907">
          <cell r="A1907" t="str">
            <v>txc-</v>
          </cell>
          <cell r="B1907" t="str">
            <v>txc</v>
          </cell>
        </row>
        <row r="1908">
          <cell r="A1908" t="str">
            <v>txc-</v>
          </cell>
          <cell r="B1908" t="str">
            <v>txc</v>
          </cell>
        </row>
        <row r="1909">
          <cell r="A1909" t="str">
            <v>txc-</v>
          </cell>
          <cell r="B1909" t="str">
            <v>txc</v>
          </cell>
        </row>
        <row r="1910">
          <cell r="A1910" t="str">
            <v>txc-</v>
          </cell>
          <cell r="B1910" t="str">
            <v>txc</v>
          </cell>
        </row>
        <row r="1911">
          <cell r="A1911" t="str">
            <v>txc-</v>
          </cell>
          <cell r="B1911" t="str">
            <v>txc</v>
          </cell>
        </row>
        <row r="1912">
          <cell r="A1912" t="str">
            <v>txc-</v>
          </cell>
          <cell r="B1912" t="str">
            <v>txc</v>
          </cell>
        </row>
        <row r="1913">
          <cell r="A1913" t="str">
            <v>txc-</v>
          </cell>
          <cell r="B1913" t="str">
            <v>txc</v>
          </cell>
        </row>
        <row r="1914">
          <cell r="A1914" t="str">
            <v>txc-</v>
          </cell>
          <cell r="B1914" t="str">
            <v>txc</v>
          </cell>
        </row>
        <row r="1915">
          <cell r="A1915" t="str">
            <v>txc-</v>
          </cell>
          <cell r="B1915" t="str">
            <v>txc</v>
          </cell>
        </row>
        <row r="1916">
          <cell r="A1916" t="str">
            <v>txc-</v>
          </cell>
          <cell r="B1916" t="str">
            <v>txc</v>
          </cell>
        </row>
        <row r="1917">
          <cell r="A1917" t="str">
            <v>txc-</v>
          </cell>
          <cell r="B1917" t="str">
            <v>txc</v>
          </cell>
        </row>
        <row r="1918">
          <cell r="A1918" t="str">
            <v>txc-</v>
          </cell>
          <cell r="B1918" t="str">
            <v>txc</v>
          </cell>
        </row>
        <row r="1919">
          <cell r="A1919" t="str">
            <v>txc-</v>
          </cell>
          <cell r="B1919" t="str">
            <v>txc</v>
          </cell>
        </row>
        <row r="1920">
          <cell r="A1920" t="str">
            <v>txc-</v>
          </cell>
          <cell r="B1920" t="str">
            <v>txc</v>
          </cell>
        </row>
        <row r="1921">
          <cell r="A1921" t="str">
            <v>txc-</v>
          </cell>
          <cell r="B1921" t="str">
            <v>txc</v>
          </cell>
        </row>
        <row r="1922">
          <cell r="A1922" t="str">
            <v>txc-</v>
          </cell>
          <cell r="B1922" t="str">
            <v>txc</v>
          </cell>
        </row>
        <row r="1923">
          <cell r="A1923" t="str">
            <v>txc-</v>
          </cell>
          <cell r="B1923" t="str">
            <v>txc</v>
          </cell>
        </row>
        <row r="1924">
          <cell r="A1924" t="str">
            <v>txc-</v>
          </cell>
          <cell r="B1924" t="str">
            <v>txc</v>
          </cell>
        </row>
        <row r="1925">
          <cell r="A1925" t="str">
            <v>txc-</v>
          </cell>
          <cell r="B1925" t="str">
            <v>txc</v>
          </cell>
        </row>
        <row r="1926">
          <cell r="A1926" t="str">
            <v>txc-</v>
          </cell>
          <cell r="B1926" t="str">
            <v>txc</v>
          </cell>
        </row>
        <row r="1927">
          <cell r="A1927" t="str">
            <v>txc-</v>
          </cell>
          <cell r="B1927" t="str">
            <v>txc</v>
          </cell>
        </row>
        <row r="1928">
          <cell r="A1928" t="str">
            <v>txc-</v>
          </cell>
          <cell r="B1928" t="str">
            <v>txc</v>
          </cell>
        </row>
        <row r="1929">
          <cell r="A1929" t="str">
            <v>txc-</v>
          </cell>
          <cell r="B1929" t="str">
            <v>txc</v>
          </cell>
        </row>
        <row r="1930">
          <cell r="A1930" t="str">
            <v>txc-</v>
          </cell>
          <cell r="B1930" t="str">
            <v>txc</v>
          </cell>
        </row>
        <row r="1931">
          <cell r="A1931" t="str">
            <v>txc-</v>
          </cell>
          <cell r="B1931" t="str">
            <v>txc</v>
          </cell>
        </row>
        <row r="1932">
          <cell r="A1932" t="str">
            <v>txc-</v>
          </cell>
          <cell r="B1932" t="str">
            <v>txc</v>
          </cell>
        </row>
        <row r="1933">
          <cell r="A1933" t="str">
            <v>txc-</v>
          </cell>
          <cell r="B1933" t="str">
            <v>txc</v>
          </cell>
        </row>
        <row r="1934">
          <cell r="A1934" t="str">
            <v>txc-</v>
          </cell>
          <cell r="B1934" t="str">
            <v>txc</v>
          </cell>
        </row>
        <row r="1935">
          <cell r="A1935" t="str">
            <v>txc-</v>
          </cell>
          <cell r="B1935" t="str">
            <v>txc</v>
          </cell>
        </row>
        <row r="1936">
          <cell r="A1936" t="str">
            <v>txc-</v>
          </cell>
          <cell r="B1936" t="str">
            <v>txc</v>
          </cell>
        </row>
        <row r="1937">
          <cell r="A1937" t="str">
            <v>txc-</v>
          </cell>
          <cell r="B1937" t="str">
            <v>txc</v>
          </cell>
        </row>
        <row r="1938">
          <cell r="A1938" t="str">
            <v>txc-</v>
          </cell>
          <cell r="B1938" t="str">
            <v>txc</v>
          </cell>
        </row>
        <row r="1939">
          <cell r="A1939" t="str">
            <v>txc-</v>
          </cell>
          <cell r="B1939" t="str">
            <v>txc</v>
          </cell>
        </row>
        <row r="1940">
          <cell r="A1940" t="str">
            <v>txc-</v>
          </cell>
          <cell r="B1940" t="str">
            <v>txc</v>
          </cell>
        </row>
        <row r="1941">
          <cell r="A1941" t="str">
            <v>txc-</v>
          </cell>
          <cell r="B1941" t="str">
            <v>txc</v>
          </cell>
        </row>
        <row r="1942">
          <cell r="A1942" t="str">
            <v>txc-</v>
          </cell>
          <cell r="B1942" t="str">
            <v>txc</v>
          </cell>
        </row>
        <row r="1943">
          <cell r="A1943" t="str">
            <v>txc-</v>
          </cell>
          <cell r="B1943" t="str">
            <v>txc</v>
          </cell>
        </row>
        <row r="1944">
          <cell r="A1944" t="str">
            <v>txc-</v>
          </cell>
          <cell r="B1944" t="str">
            <v>txc</v>
          </cell>
        </row>
        <row r="1945">
          <cell r="A1945" t="str">
            <v>txc-</v>
          </cell>
          <cell r="B1945" t="str">
            <v>txc</v>
          </cell>
        </row>
        <row r="1946">
          <cell r="A1946" t="str">
            <v>txc-</v>
          </cell>
          <cell r="B1946" t="str">
            <v>txc</v>
          </cell>
        </row>
        <row r="1947">
          <cell r="A1947" t="str">
            <v>txc-</v>
          </cell>
          <cell r="B1947" t="str">
            <v>txc</v>
          </cell>
        </row>
        <row r="1948">
          <cell r="A1948" t="str">
            <v>txc-</v>
          </cell>
          <cell r="B1948" t="str">
            <v>txc</v>
          </cell>
        </row>
        <row r="1949">
          <cell r="A1949" t="str">
            <v>txc-</v>
          </cell>
          <cell r="B1949" t="str">
            <v>txc</v>
          </cell>
        </row>
        <row r="1950">
          <cell r="A1950" t="str">
            <v>txc-</v>
          </cell>
          <cell r="B1950" t="str">
            <v>txc</v>
          </cell>
        </row>
        <row r="1951">
          <cell r="A1951" t="str">
            <v>txc-</v>
          </cell>
          <cell r="B1951" t="str">
            <v>txc</v>
          </cell>
        </row>
        <row r="1952">
          <cell r="A1952" t="str">
            <v>txc-</v>
          </cell>
          <cell r="B1952" t="str">
            <v>txc</v>
          </cell>
        </row>
        <row r="1953">
          <cell r="A1953" t="str">
            <v>txc-</v>
          </cell>
          <cell r="B1953" t="str">
            <v>txc</v>
          </cell>
        </row>
        <row r="1954">
          <cell r="A1954" t="str">
            <v>txc-</v>
          </cell>
          <cell r="B1954" t="str">
            <v>txc</v>
          </cell>
        </row>
        <row r="1955">
          <cell r="A1955" t="str">
            <v>txc-</v>
          </cell>
          <cell r="B1955" t="str">
            <v>txc</v>
          </cell>
        </row>
        <row r="1956">
          <cell r="A1956" t="str">
            <v>txc-</v>
          </cell>
          <cell r="B1956" t="str">
            <v>txc</v>
          </cell>
        </row>
        <row r="1957">
          <cell r="A1957" t="str">
            <v>txc-</v>
          </cell>
          <cell r="B1957" t="str">
            <v>txc</v>
          </cell>
        </row>
        <row r="1958">
          <cell r="A1958" t="str">
            <v>txc-</v>
          </cell>
          <cell r="B1958" t="str">
            <v>txc</v>
          </cell>
        </row>
        <row r="1959">
          <cell r="A1959" t="str">
            <v>txc-</v>
          </cell>
          <cell r="B1959" t="str">
            <v>txc</v>
          </cell>
        </row>
        <row r="1960">
          <cell r="A1960" t="str">
            <v>txc-</v>
          </cell>
          <cell r="B1960" t="str">
            <v>txc</v>
          </cell>
        </row>
        <row r="1961">
          <cell r="A1961" t="str">
            <v>txc-</v>
          </cell>
          <cell r="B1961" t="str">
            <v>txc</v>
          </cell>
        </row>
        <row r="1962">
          <cell r="A1962" t="str">
            <v>txc-</v>
          </cell>
          <cell r="B1962" t="str">
            <v>txc</v>
          </cell>
        </row>
        <row r="1963">
          <cell r="A1963" t="str">
            <v>txc-</v>
          </cell>
          <cell r="B1963" t="str">
            <v>txc</v>
          </cell>
        </row>
        <row r="1964">
          <cell r="A1964" t="str">
            <v>txc-</v>
          </cell>
          <cell r="B1964" t="str">
            <v>txc</v>
          </cell>
        </row>
        <row r="1965">
          <cell r="A1965" t="str">
            <v>txc-</v>
          </cell>
          <cell r="B1965" t="str">
            <v>txc</v>
          </cell>
        </row>
        <row r="1966">
          <cell r="A1966" t="str">
            <v>txc-</v>
          </cell>
          <cell r="B1966" t="str">
            <v>txc</v>
          </cell>
        </row>
        <row r="1967">
          <cell r="A1967" t="str">
            <v>txc-</v>
          </cell>
          <cell r="B1967" t="str">
            <v>txc</v>
          </cell>
        </row>
        <row r="1968">
          <cell r="A1968" t="str">
            <v>txc-</v>
          </cell>
          <cell r="B1968" t="str">
            <v>txc</v>
          </cell>
        </row>
        <row r="1969">
          <cell r="A1969" t="str">
            <v>txc-</v>
          </cell>
          <cell r="B1969" t="str">
            <v>txc</v>
          </cell>
        </row>
        <row r="1970">
          <cell r="A1970" t="str">
            <v>txc-</v>
          </cell>
          <cell r="B1970" t="str">
            <v>txc</v>
          </cell>
        </row>
        <row r="1971">
          <cell r="A1971" t="str">
            <v>txc-</v>
          </cell>
          <cell r="B1971" t="str">
            <v>txc</v>
          </cell>
        </row>
        <row r="1972">
          <cell r="A1972" t="str">
            <v>txc-</v>
          </cell>
          <cell r="B1972" t="str">
            <v>txc</v>
          </cell>
        </row>
        <row r="1973">
          <cell r="A1973" t="str">
            <v>txc-</v>
          </cell>
          <cell r="B1973" t="str">
            <v>txc</v>
          </cell>
        </row>
        <row r="1974">
          <cell r="A1974" t="str">
            <v>txc-</v>
          </cell>
          <cell r="B1974" t="str">
            <v>txc</v>
          </cell>
        </row>
        <row r="1975">
          <cell r="A1975" t="str">
            <v>txc-</v>
          </cell>
          <cell r="B1975" t="str">
            <v>txc</v>
          </cell>
        </row>
        <row r="1976">
          <cell r="A1976" t="str">
            <v>txc-</v>
          </cell>
          <cell r="B1976" t="str">
            <v>txc</v>
          </cell>
        </row>
        <row r="1977">
          <cell r="A1977" t="str">
            <v>txc-</v>
          </cell>
          <cell r="B1977" t="str">
            <v>txc</v>
          </cell>
        </row>
        <row r="1978">
          <cell r="A1978" t="str">
            <v>txc-</v>
          </cell>
          <cell r="B1978" t="str">
            <v>txc</v>
          </cell>
        </row>
        <row r="1979">
          <cell r="A1979" t="str">
            <v>txc-</v>
          </cell>
          <cell r="B1979" t="str">
            <v>txc</v>
          </cell>
        </row>
        <row r="1980">
          <cell r="A1980" t="str">
            <v>txc-</v>
          </cell>
          <cell r="B1980" t="str">
            <v>txc</v>
          </cell>
        </row>
        <row r="1981">
          <cell r="A1981" t="str">
            <v>txc-</v>
          </cell>
          <cell r="B1981" t="str">
            <v>txc</v>
          </cell>
        </row>
        <row r="1982">
          <cell r="A1982" t="str">
            <v>txc-</v>
          </cell>
          <cell r="B1982" t="str">
            <v>txc</v>
          </cell>
        </row>
        <row r="1983">
          <cell r="A1983" t="str">
            <v>txc-</v>
          </cell>
          <cell r="B1983" t="str">
            <v>txc</v>
          </cell>
        </row>
        <row r="1984">
          <cell r="A1984" t="str">
            <v>txc-</v>
          </cell>
          <cell r="B1984" t="str">
            <v>txc</v>
          </cell>
        </row>
        <row r="1985">
          <cell r="A1985" t="str">
            <v>txc-</v>
          </cell>
          <cell r="B1985" t="str">
            <v>txc</v>
          </cell>
        </row>
        <row r="1986">
          <cell r="A1986" t="str">
            <v>txc-</v>
          </cell>
          <cell r="B1986" t="str">
            <v>txc</v>
          </cell>
        </row>
        <row r="1987">
          <cell r="A1987" t="str">
            <v>txc-</v>
          </cell>
          <cell r="B1987" t="str">
            <v>txc</v>
          </cell>
        </row>
        <row r="1988">
          <cell r="A1988" t="str">
            <v>txc-</v>
          </cell>
          <cell r="B1988" t="str">
            <v>txc</v>
          </cell>
        </row>
        <row r="1989">
          <cell r="A1989" t="str">
            <v>txc-</v>
          </cell>
          <cell r="B1989" t="str">
            <v>txc</v>
          </cell>
        </row>
        <row r="1990">
          <cell r="A1990" t="str">
            <v>txc-</v>
          </cell>
          <cell r="B1990" t="str">
            <v>txc</v>
          </cell>
        </row>
        <row r="1991">
          <cell r="A1991" t="str">
            <v>txc-</v>
          </cell>
          <cell r="B1991" t="str">
            <v>txc</v>
          </cell>
        </row>
        <row r="1992">
          <cell r="A1992" t="str">
            <v>txc-</v>
          </cell>
          <cell r="B1992" t="str">
            <v>txc</v>
          </cell>
        </row>
        <row r="1993">
          <cell r="A1993" t="str">
            <v>txc-</v>
          </cell>
          <cell r="B1993" t="str">
            <v>txc</v>
          </cell>
        </row>
        <row r="1994">
          <cell r="A1994" t="str">
            <v>txc-</v>
          </cell>
          <cell r="B1994" t="str">
            <v>txc</v>
          </cell>
        </row>
        <row r="1995">
          <cell r="A1995" t="str">
            <v>txc-</v>
          </cell>
          <cell r="B1995" t="str">
            <v>txc</v>
          </cell>
        </row>
        <row r="1996">
          <cell r="A1996" t="str">
            <v>txc-</v>
          </cell>
          <cell r="B1996" t="str">
            <v>txc</v>
          </cell>
        </row>
        <row r="1997">
          <cell r="A1997" t="str">
            <v>txc-</v>
          </cell>
          <cell r="B1997" t="str">
            <v>txc</v>
          </cell>
        </row>
        <row r="1998">
          <cell r="A1998" t="str">
            <v>txc-</v>
          </cell>
          <cell r="B1998" t="str">
            <v>txc</v>
          </cell>
        </row>
        <row r="1999">
          <cell r="A1999" t="str">
            <v>txc-</v>
          </cell>
          <cell r="B1999" t="str">
            <v>txc</v>
          </cell>
        </row>
        <row r="2000">
          <cell r="A2000" t="str">
            <v>txc-</v>
          </cell>
          <cell r="B2000" t="str">
            <v>txc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ota_lineas_tp"/>
    </sheetNames>
    <sheetDataSet>
      <sheetData sheetId="0">
        <row r="2">
          <cell r="A2" t="str">
            <v xml:space="preserve">bus-MODO: bus    </v>
          </cell>
          <cell r="B2" t="str">
            <v>bus</v>
          </cell>
          <cell r="C2" t="str">
            <v xml:space="preserve">MODO: bus    </v>
          </cell>
        </row>
        <row r="3">
          <cell r="A3" t="str">
            <v>bus-LINEA</v>
          </cell>
          <cell r="B3" t="str">
            <v>bus</v>
          </cell>
          <cell r="C3" t="str">
            <v>LINEA</v>
          </cell>
          <cell r="D3" t="str">
            <v>FLOTA</v>
          </cell>
        </row>
        <row r="4">
          <cell r="A4" t="str">
            <v>bus-1011</v>
          </cell>
          <cell r="B4" t="str">
            <v>bus</v>
          </cell>
          <cell r="C4">
            <v>1011</v>
          </cell>
          <cell r="D4">
            <v>7.7</v>
          </cell>
        </row>
        <row r="5">
          <cell r="A5" t="str">
            <v>bus-1012</v>
          </cell>
          <cell r="B5" t="str">
            <v>bus</v>
          </cell>
          <cell r="C5">
            <v>1012</v>
          </cell>
          <cell r="D5">
            <v>14.55</v>
          </cell>
        </row>
        <row r="6">
          <cell r="A6" t="str">
            <v>bus-1021</v>
          </cell>
          <cell r="B6" t="str">
            <v>bus</v>
          </cell>
          <cell r="C6">
            <v>1021</v>
          </cell>
          <cell r="D6">
            <v>8.01</v>
          </cell>
        </row>
        <row r="7">
          <cell r="A7" t="str">
            <v>bus-1022</v>
          </cell>
          <cell r="B7" t="str">
            <v>bus</v>
          </cell>
          <cell r="C7">
            <v>1022</v>
          </cell>
          <cell r="D7">
            <v>7.96</v>
          </cell>
        </row>
        <row r="8">
          <cell r="A8" t="str">
            <v>bus-1031</v>
          </cell>
          <cell r="B8" t="str">
            <v>bus</v>
          </cell>
          <cell r="C8">
            <v>1031</v>
          </cell>
          <cell r="D8">
            <v>5.6</v>
          </cell>
        </row>
        <row r="9">
          <cell r="A9" t="str">
            <v>bus-1032</v>
          </cell>
          <cell r="B9" t="str">
            <v>bus</v>
          </cell>
          <cell r="C9">
            <v>1032</v>
          </cell>
          <cell r="D9">
            <v>16.09</v>
          </cell>
        </row>
        <row r="10">
          <cell r="A10" t="str">
            <v>bus-1041</v>
          </cell>
          <cell r="B10" t="str">
            <v>bus</v>
          </cell>
          <cell r="C10">
            <v>1041</v>
          </cell>
          <cell r="D10">
            <v>7.61</v>
          </cell>
        </row>
        <row r="11">
          <cell r="A11" t="str">
            <v>bus-1042</v>
          </cell>
          <cell r="B11" t="str">
            <v>bus</v>
          </cell>
          <cell r="C11">
            <v>1042</v>
          </cell>
          <cell r="D11">
            <v>7.34</v>
          </cell>
        </row>
        <row r="12">
          <cell r="A12" t="str">
            <v>bus-1051</v>
          </cell>
          <cell r="B12" t="str">
            <v>bus</v>
          </cell>
          <cell r="C12">
            <v>1051</v>
          </cell>
          <cell r="D12">
            <v>7.56</v>
          </cell>
        </row>
        <row r="13">
          <cell r="A13" t="str">
            <v>bus-1052</v>
          </cell>
          <cell r="B13" t="str">
            <v>bus</v>
          </cell>
          <cell r="C13">
            <v>1052</v>
          </cell>
          <cell r="D13">
            <v>7.41</v>
          </cell>
        </row>
        <row r="14">
          <cell r="A14" t="str">
            <v>bus-1061</v>
          </cell>
          <cell r="B14" t="str">
            <v>bus</v>
          </cell>
          <cell r="C14">
            <v>1061</v>
          </cell>
          <cell r="D14">
            <v>5.3</v>
          </cell>
        </row>
        <row r="15">
          <cell r="A15" t="str">
            <v>bus-1062</v>
          </cell>
          <cell r="B15" t="str">
            <v>bus</v>
          </cell>
          <cell r="C15">
            <v>1062</v>
          </cell>
          <cell r="D15">
            <v>8.8699999999999992</v>
          </cell>
        </row>
        <row r="16">
          <cell r="A16" t="str">
            <v>bus-1071</v>
          </cell>
          <cell r="B16" t="str">
            <v>bus</v>
          </cell>
          <cell r="C16">
            <v>1071</v>
          </cell>
          <cell r="D16">
            <v>6.82</v>
          </cell>
        </row>
        <row r="17">
          <cell r="A17" t="str">
            <v>bus-1072</v>
          </cell>
          <cell r="B17" t="str">
            <v>bus</v>
          </cell>
          <cell r="C17">
            <v>1072</v>
          </cell>
          <cell r="D17">
            <v>19.93</v>
          </cell>
        </row>
        <row r="18">
          <cell r="A18" t="str">
            <v>bus-1081</v>
          </cell>
          <cell r="B18" t="str">
            <v>bus</v>
          </cell>
          <cell r="C18">
            <v>1081</v>
          </cell>
          <cell r="D18">
            <v>1.26</v>
          </cell>
        </row>
        <row r="19">
          <cell r="A19" t="str">
            <v>bus-1082</v>
          </cell>
          <cell r="B19" t="str">
            <v>bus</v>
          </cell>
          <cell r="C19">
            <v>1082</v>
          </cell>
          <cell r="D19">
            <v>4.1500000000000004</v>
          </cell>
        </row>
        <row r="20">
          <cell r="A20" t="str">
            <v>bus-1091</v>
          </cell>
          <cell r="B20" t="str">
            <v>bus</v>
          </cell>
          <cell r="C20">
            <v>1091</v>
          </cell>
          <cell r="D20">
            <v>7.62</v>
          </cell>
        </row>
        <row r="21">
          <cell r="A21" t="str">
            <v>bus-1092</v>
          </cell>
          <cell r="B21" t="str">
            <v>bus</v>
          </cell>
          <cell r="C21">
            <v>1092</v>
          </cell>
          <cell r="D21">
            <v>7.79</v>
          </cell>
        </row>
        <row r="22">
          <cell r="A22" t="str">
            <v>bus-1101</v>
          </cell>
          <cell r="B22" t="str">
            <v>bus</v>
          </cell>
          <cell r="C22">
            <v>1101</v>
          </cell>
          <cell r="D22">
            <v>4.17</v>
          </cell>
        </row>
        <row r="23">
          <cell r="A23" t="str">
            <v>bus-1102</v>
          </cell>
          <cell r="B23" t="str">
            <v>bus</v>
          </cell>
          <cell r="C23">
            <v>1102</v>
          </cell>
          <cell r="D23">
            <v>1.22</v>
          </cell>
        </row>
        <row r="24">
          <cell r="A24" t="str">
            <v>bus-1111</v>
          </cell>
          <cell r="B24" t="str">
            <v>bus</v>
          </cell>
          <cell r="C24">
            <v>1111</v>
          </cell>
          <cell r="D24">
            <v>3.57</v>
          </cell>
        </row>
        <row r="25">
          <cell r="A25" t="str">
            <v>bus-1112</v>
          </cell>
          <cell r="B25" t="str">
            <v>bus</v>
          </cell>
          <cell r="C25">
            <v>1112</v>
          </cell>
          <cell r="D25">
            <v>6.9</v>
          </cell>
        </row>
        <row r="26">
          <cell r="A26" t="str">
            <v>bus-1121</v>
          </cell>
          <cell r="B26" t="str">
            <v>bus</v>
          </cell>
          <cell r="C26">
            <v>1121</v>
          </cell>
          <cell r="D26">
            <v>5.53</v>
          </cell>
        </row>
        <row r="27">
          <cell r="A27" t="str">
            <v>bus-1122</v>
          </cell>
          <cell r="B27" t="str">
            <v>bus</v>
          </cell>
          <cell r="C27">
            <v>1122</v>
          </cell>
          <cell r="D27">
            <v>10.95</v>
          </cell>
        </row>
        <row r="28">
          <cell r="A28" t="str">
            <v>bus-1131</v>
          </cell>
          <cell r="B28" t="str">
            <v>bus</v>
          </cell>
          <cell r="C28">
            <v>1131</v>
          </cell>
          <cell r="D28">
            <v>6.86</v>
          </cell>
        </row>
        <row r="29">
          <cell r="A29" t="str">
            <v>bus-1132</v>
          </cell>
          <cell r="B29" t="str">
            <v>bus</v>
          </cell>
          <cell r="C29">
            <v>1132</v>
          </cell>
          <cell r="D29">
            <v>7.74</v>
          </cell>
        </row>
        <row r="30">
          <cell r="A30" t="str">
            <v>bus-1141</v>
          </cell>
          <cell r="B30" t="str">
            <v>bus</v>
          </cell>
          <cell r="C30">
            <v>1141</v>
          </cell>
          <cell r="D30">
            <v>5.53</v>
          </cell>
        </row>
        <row r="31">
          <cell r="A31" t="str">
            <v>bus-1142</v>
          </cell>
          <cell r="B31" t="str">
            <v>bus</v>
          </cell>
          <cell r="C31">
            <v>1142</v>
          </cell>
          <cell r="D31">
            <v>8.99</v>
          </cell>
        </row>
        <row r="32">
          <cell r="A32" t="str">
            <v>bus-1151</v>
          </cell>
          <cell r="B32" t="str">
            <v>bus</v>
          </cell>
          <cell r="C32">
            <v>1151</v>
          </cell>
          <cell r="D32">
            <v>3.48</v>
          </cell>
        </row>
        <row r="33">
          <cell r="A33" t="str">
            <v>bus-1152</v>
          </cell>
          <cell r="B33" t="str">
            <v>bus</v>
          </cell>
          <cell r="C33">
            <v>1152</v>
          </cell>
          <cell r="D33">
            <v>3.84</v>
          </cell>
        </row>
        <row r="34">
          <cell r="A34" t="str">
            <v>bus-1161</v>
          </cell>
          <cell r="B34" t="str">
            <v>bus</v>
          </cell>
          <cell r="C34">
            <v>1161</v>
          </cell>
          <cell r="D34">
            <v>4.95</v>
          </cell>
        </row>
        <row r="35">
          <cell r="A35" t="str">
            <v>bus-1162</v>
          </cell>
          <cell r="B35" t="str">
            <v>bus</v>
          </cell>
          <cell r="C35">
            <v>1162</v>
          </cell>
          <cell r="D35">
            <v>6.15</v>
          </cell>
        </row>
        <row r="36">
          <cell r="A36" t="str">
            <v>bus-1171</v>
          </cell>
          <cell r="B36" t="str">
            <v>bus</v>
          </cell>
          <cell r="C36">
            <v>1171</v>
          </cell>
          <cell r="D36">
            <v>0.38</v>
          </cell>
        </row>
        <row r="37">
          <cell r="A37" t="str">
            <v>bus-1172</v>
          </cell>
          <cell r="B37" t="str">
            <v>bus</v>
          </cell>
          <cell r="C37">
            <v>1172</v>
          </cell>
          <cell r="D37">
            <v>0.28000000000000003</v>
          </cell>
        </row>
        <row r="38">
          <cell r="A38" t="str">
            <v>bus-1191</v>
          </cell>
          <cell r="B38" t="str">
            <v>bus</v>
          </cell>
          <cell r="C38">
            <v>1191</v>
          </cell>
          <cell r="D38">
            <v>4.12</v>
          </cell>
        </row>
        <row r="39">
          <cell r="A39" t="str">
            <v>bus-1192</v>
          </cell>
          <cell r="B39" t="str">
            <v>bus</v>
          </cell>
          <cell r="C39">
            <v>1192</v>
          </cell>
          <cell r="D39">
            <v>2.2400000000000002</v>
          </cell>
        </row>
        <row r="40">
          <cell r="A40" t="str">
            <v>bus-1201</v>
          </cell>
          <cell r="B40" t="str">
            <v>bus</v>
          </cell>
          <cell r="C40">
            <v>1201</v>
          </cell>
          <cell r="D40">
            <v>0.65</v>
          </cell>
        </row>
        <row r="41">
          <cell r="A41" t="str">
            <v>bus-1202</v>
          </cell>
          <cell r="B41" t="str">
            <v>bus</v>
          </cell>
          <cell r="C41">
            <v>1202</v>
          </cell>
          <cell r="D41">
            <v>0.52</v>
          </cell>
        </row>
        <row r="42">
          <cell r="A42" t="str">
            <v>bus-1211</v>
          </cell>
          <cell r="B42" t="str">
            <v>bus</v>
          </cell>
          <cell r="C42">
            <v>1211</v>
          </cell>
          <cell r="D42">
            <v>1.89</v>
          </cell>
        </row>
        <row r="43">
          <cell r="A43" t="str">
            <v>bus-1212</v>
          </cell>
          <cell r="B43" t="str">
            <v>bus</v>
          </cell>
          <cell r="C43">
            <v>1212</v>
          </cell>
          <cell r="D43">
            <v>1.95</v>
          </cell>
        </row>
        <row r="44">
          <cell r="A44" t="str">
            <v>bus-1221</v>
          </cell>
          <cell r="B44" t="str">
            <v>bus</v>
          </cell>
          <cell r="C44">
            <v>1221</v>
          </cell>
          <cell r="D44">
            <v>5.93</v>
          </cell>
        </row>
        <row r="45">
          <cell r="A45" t="str">
            <v>bus-1222</v>
          </cell>
          <cell r="B45" t="str">
            <v>bus</v>
          </cell>
          <cell r="C45">
            <v>1222</v>
          </cell>
          <cell r="D45">
            <v>3.33</v>
          </cell>
        </row>
        <row r="46">
          <cell r="A46" t="str">
            <v>bus-1251</v>
          </cell>
          <cell r="B46" t="str">
            <v>bus</v>
          </cell>
          <cell r="C46">
            <v>1251</v>
          </cell>
          <cell r="D46">
            <v>1.77</v>
          </cell>
        </row>
        <row r="47">
          <cell r="A47" t="str">
            <v>bus-1252</v>
          </cell>
          <cell r="B47" t="str">
            <v>bus</v>
          </cell>
          <cell r="C47">
            <v>1252</v>
          </cell>
          <cell r="D47">
            <v>2.58</v>
          </cell>
        </row>
        <row r="48">
          <cell r="A48" t="str">
            <v>bus-1261</v>
          </cell>
          <cell r="B48" t="str">
            <v>bus</v>
          </cell>
          <cell r="C48">
            <v>1261</v>
          </cell>
          <cell r="D48">
            <v>0.47</v>
          </cell>
        </row>
        <row r="49">
          <cell r="A49" t="str">
            <v>bus-1262</v>
          </cell>
          <cell r="B49" t="str">
            <v>bus</v>
          </cell>
          <cell r="C49">
            <v>1262</v>
          </cell>
          <cell r="D49">
            <v>0.61</v>
          </cell>
        </row>
        <row r="50">
          <cell r="A50" t="str">
            <v>bus-2011</v>
          </cell>
          <cell r="B50" t="str">
            <v>bus</v>
          </cell>
          <cell r="C50">
            <v>2011</v>
          </cell>
          <cell r="D50">
            <v>12.93</v>
          </cell>
        </row>
        <row r="51">
          <cell r="A51" t="str">
            <v>bus-2012</v>
          </cell>
          <cell r="B51" t="str">
            <v>bus</v>
          </cell>
          <cell r="C51">
            <v>2012</v>
          </cell>
          <cell r="D51">
            <v>10.87</v>
          </cell>
        </row>
        <row r="52">
          <cell r="A52" t="str">
            <v>bus-2021</v>
          </cell>
          <cell r="B52" t="str">
            <v>bus</v>
          </cell>
          <cell r="C52">
            <v>2021</v>
          </cell>
          <cell r="D52">
            <v>4.3</v>
          </cell>
        </row>
        <row r="53">
          <cell r="A53" t="str">
            <v>bus-2022</v>
          </cell>
          <cell r="B53" t="str">
            <v>bus</v>
          </cell>
          <cell r="C53">
            <v>2022</v>
          </cell>
          <cell r="D53">
            <v>3.59</v>
          </cell>
        </row>
        <row r="54">
          <cell r="A54" t="str">
            <v>bus-2031</v>
          </cell>
          <cell r="B54" t="str">
            <v>bus</v>
          </cell>
          <cell r="C54">
            <v>2031</v>
          </cell>
          <cell r="D54">
            <v>3.62</v>
          </cell>
        </row>
        <row r="55">
          <cell r="A55" t="str">
            <v>bus-2032</v>
          </cell>
          <cell r="B55" t="str">
            <v>bus</v>
          </cell>
          <cell r="C55">
            <v>2032</v>
          </cell>
          <cell r="D55">
            <v>1.38</v>
          </cell>
        </row>
        <row r="56">
          <cell r="A56" t="str">
            <v>bus-2041</v>
          </cell>
          <cell r="B56" t="str">
            <v>bus</v>
          </cell>
          <cell r="C56">
            <v>2041</v>
          </cell>
          <cell r="D56">
            <v>4.21</v>
          </cell>
        </row>
        <row r="57">
          <cell r="A57" t="str">
            <v>bus-2042</v>
          </cell>
          <cell r="B57" t="str">
            <v>bus</v>
          </cell>
          <cell r="C57">
            <v>2042</v>
          </cell>
          <cell r="D57">
            <v>6.37</v>
          </cell>
        </row>
        <row r="58">
          <cell r="A58" t="str">
            <v>bus-2051</v>
          </cell>
          <cell r="B58" t="str">
            <v>bus</v>
          </cell>
          <cell r="C58">
            <v>2051</v>
          </cell>
          <cell r="D58">
            <v>8.08</v>
          </cell>
        </row>
        <row r="59">
          <cell r="A59" t="str">
            <v>bus-2052</v>
          </cell>
          <cell r="B59" t="str">
            <v>bus</v>
          </cell>
          <cell r="C59">
            <v>2052</v>
          </cell>
          <cell r="D59">
            <v>8.5399999999999991</v>
          </cell>
        </row>
        <row r="60">
          <cell r="A60" t="str">
            <v>bus-2071</v>
          </cell>
          <cell r="B60" t="str">
            <v>bus</v>
          </cell>
          <cell r="C60">
            <v>2071</v>
          </cell>
          <cell r="D60">
            <v>1.01</v>
          </cell>
        </row>
        <row r="61">
          <cell r="A61" t="str">
            <v>bus-2072</v>
          </cell>
          <cell r="B61" t="str">
            <v>bus</v>
          </cell>
          <cell r="C61">
            <v>2072</v>
          </cell>
          <cell r="D61">
            <v>1.65</v>
          </cell>
        </row>
        <row r="62">
          <cell r="A62" t="str">
            <v>bus-2081</v>
          </cell>
          <cell r="B62" t="str">
            <v>bus</v>
          </cell>
          <cell r="C62">
            <v>2081</v>
          </cell>
          <cell r="D62">
            <v>1.1299999999999999</v>
          </cell>
        </row>
        <row r="63">
          <cell r="A63" t="str">
            <v>bus-2082</v>
          </cell>
          <cell r="B63" t="str">
            <v>bus</v>
          </cell>
          <cell r="C63">
            <v>2082</v>
          </cell>
          <cell r="D63">
            <v>2.34</v>
          </cell>
        </row>
        <row r="64">
          <cell r="A64" t="str">
            <v>bus-2091</v>
          </cell>
          <cell r="B64" t="str">
            <v>bus</v>
          </cell>
          <cell r="C64">
            <v>2091</v>
          </cell>
          <cell r="D64">
            <v>7.97</v>
          </cell>
        </row>
        <row r="65">
          <cell r="A65" t="str">
            <v>bus-2092</v>
          </cell>
          <cell r="B65" t="str">
            <v>bus</v>
          </cell>
          <cell r="C65">
            <v>2092</v>
          </cell>
          <cell r="D65">
            <v>7.49</v>
          </cell>
        </row>
        <row r="66">
          <cell r="A66" t="str">
            <v>bus-2101</v>
          </cell>
          <cell r="B66" t="str">
            <v>bus</v>
          </cell>
          <cell r="C66">
            <v>2101</v>
          </cell>
          <cell r="D66">
            <v>4.95</v>
          </cell>
        </row>
        <row r="67">
          <cell r="A67" t="str">
            <v>bus-2102</v>
          </cell>
          <cell r="B67" t="str">
            <v>bus</v>
          </cell>
          <cell r="C67">
            <v>2102</v>
          </cell>
          <cell r="D67">
            <v>12.64</v>
          </cell>
        </row>
        <row r="68">
          <cell r="A68" t="str">
            <v>bus-2111</v>
          </cell>
          <cell r="B68" t="str">
            <v>bus</v>
          </cell>
          <cell r="C68">
            <v>2111</v>
          </cell>
          <cell r="D68">
            <v>0.91</v>
          </cell>
        </row>
        <row r="69">
          <cell r="A69" t="str">
            <v>bus-2112</v>
          </cell>
          <cell r="B69" t="str">
            <v>bus</v>
          </cell>
          <cell r="C69">
            <v>2112</v>
          </cell>
          <cell r="D69">
            <v>4.26</v>
          </cell>
        </row>
        <row r="70">
          <cell r="A70" t="str">
            <v>bus-2121</v>
          </cell>
          <cell r="B70" t="str">
            <v>bus</v>
          </cell>
          <cell r="C70">
            <v>2121</v>
          </cell>
          <cell r="D70">
            <v>8.5399999999999991</v>
          </cell>
        </row>
        <row r="71">
          <cell r="A71" t="str">
            <v>bus-2122</v>
          </cell>
          <cell r="B71" t="str">
            <v>bus</v>
          </cell>
          <cell r="C71">
            <v>2122</v>
          </cell>
          <cell r="D71">
            <v>7.29</v>
          </cell>
        </row>
        <row r="72">
          <cell r="A72" t="str">
            <v>bus-2131</v>
          </cell>
          <cell r="B72" t="str">
            <v>bus</v>
          </cell>
          <cell r="C72">
            <v>2131</v>
          </cell>
          <cell r="D72">
            <v>6.23</v>
          </cell>
        </row>
        <row r="73">
          <cell r="A73" t="str">
            <v>bus-2132</v>
          </cell>
          <cell r="B73" t="str">
            <v>bus</v>
          </cell>
          <cell r="C73">
            <v>2132</v>
          </cell>
          <cell r="D73">
            <v>7.12</v>
          </cell>
        </row>
        <row r="74">
          <cell r="A74" t="str">
            <v>bus-2141</v>
          </cell>
          <cell r="B74" t="str">
            <v>bus</v>
          </cell>
          <cell r="C74">
            <v>2141</v>
          </cell>
          <cell r="D74">
            <v>12.06</v>
          </cell>
        </row>
        <row r="75">
          <cell r="A75" t="str">
            <v>bus-2142</v>
          </cell>
          <cell r="B75" t="str">
            <v>bus</v>
          </cell>
          <cell r="C75">
            <v>2142</v>
          </cell>
          <cell r="D75">
            <v>9.5500000000000007</v>
          </cell>
        </row>
        <row r="76">
          <cell r="A76" t="str">
            <v>bus-2151</v>
          </cell>
          <cell r="B76" t="str">
            <v>bus</v>
          </cell>
          <cell r="C76">
            <v>2151</v>
          </cell>
          <cell r="D76">
            <v>3.67</v>
          </cell>
        </row>
        <row r="77">
          <cell r="A77" t="str">
            <v>bus-2152</v>
          </cell>
          <cell r="B77" t="str">
            <v>bus</v>
          </cell>
          <cell r="C77">
            <v>2152</v>
          </cell>
          <cell r="D77">
            <v>1.37</v>
          </cell>
        </row>
        <row r="78">
          <cell r="A78" t="str">
            <v>bus-2161</v>
          </cell>
          <cell r="B78" t="str">
            <v>bus</v>
          </cell>
          <cell r="C78">
            <v>2161</v>
          </cell>
          <cell r="D78">
            <v>3.16</v>
          </cell>
        </row>
        <row r="79">
          <cell r="A79" t="str">
            <v>bus-2162</v>
          </cell>
          <cell r="B79" t="str">
            <v>bus</v>
          </cell>
          <cell r="C79">
            <v>2162</v>
          </cell>
          <cell r="D79">
            <v>8.9</v>
          </cell>
        </row>
        <row r="80">
          <cell r="A80" t="str">
            <v>bus-3011</v>
          </cell>
          <cell r="B80" t="str">
            <v>bus</v>
          </cell>
          <cell r="C80">
            <v>3011</v>
          </cell>
          <cell r="D80">
            <v>3.53</v>
          </cell>
        </row>
        <row r="81">
          <cell r="A81" t="str">
            <v>bus-3012</v>
          </cell>
          <cell r="B81" t="str">
            <v>bus</v>
          </cell>
          <cell r="C81">
            <v>3012</v>
          </cell>
          <cell r="D81">
            <v>5.27</v>
          </cell>
        </row>
        <row r="82">
          <cell r="A82" t="str">
            <v>bus-3021</v>
          </cell>
          <cell r="B82" t="str">
            <v>bus</v>
          </cell>
          <cell r="C82">
            <v>3021</v>
          </cell>
          <cell r="D82">
            <v>13.27</v>
          </cell>
        </row>
        <row r="83">
          <cell r="A83" t="str">
            <v>bus-3022</v>
          </cell>
          <cell r="B83" t="str">
            <v>bus</v>
          </cell>
          <cell r="C83">
            <v>3022</v>
          </cell>
          <cell r="D83">
            <v>11.1</v>
          </cell>
        </row>
        <row r="84">
          <cell r="A84" t="str">
            <v>bus-3031</v>
          </cell>
          <cell r="B84" t="str">
            <v>bus</v>
          </cell>
          <cell r="C84">
            <v>3031</v>
          </cell>
          <cell r="D84">
            <v>1.38</v>
          </cell>
        </row>
        <row r="85">
          <cell r="A85" t="str">
            <v>bus-3032</v>
          </cell>
          <cell r="B85" t="str">
            <v>bus</v>
          </cell>
          <cell r="C85">
            <v>3032</v>
          </cell>
          <cell r="D85">
            <v>8.59</v>
          </cell>
        </row>
        <row r="86">
          <cell r="A86" t="str">
            <v>bus-3041</v>
          </cell>
          <cell r="B86" t="str">
            <v>bus</v>
          </cell>
          <cell r="C86">
            <v>3041</v>
          </cell>
          <cell r="D86">
            <v>9.83</v>
          </cell>
        </row>
        <row r="87">
          <cell r="A87" t="str">
            <v>bus-3042</v>
          </cell>
          <cell r="B87" t="str">
            <v>bus</v>
          </cell>
          <cell r="C87">
            <v>3042</v>
          </cell>
          <cell r="D87">
            <v>11.94</v>
          </cell>
        </row>
        <row r="88">
          <cell r="A88" t="str">
            <v>bus-3051</v>
          </cell>
          <cell r="B88" t="str">
            <v>bus</v>
          </cell>
          <cell r="C88">
            <v>3051</v>
          </cell>
          <cell r="D88">
            <v>5.2</v>
          </cell>
        </row>
        <row r="89">
          <cell r="A89" t="str">
            <v>bus-3052</v>
          </cell>
          <cell r="B89" t="str">
            <v>bus</v>
          </cell>
          <cell r="C89">
            <v>3052</v>
          </cell>
          <cell r="D89">
            <v>6.09</v>
          </cell>
        </row>
        <row r="90">
          <cell r="A90" t="str">
            <v>bus-3061</v>
          </cell>
          <cell r="B90" t="str">
            <v>bus</v>
          </cell>
          <cell r="C90">
            <v>3061</v>
          </cell>
          <cell r="D90">
            <v>4.1900000000000004</v>
          </cell>
        </row>
        <row r="91">
          <cell r="A91" t="str">
            <v>bus-3062</v>
          </cell>
          <cell r="B91" t="str">
            <v>bus</v>
          </cell>
          <cell r="C91">
            <v>3062</v>
          </cell>
          <cell r="D91">
            <v>5.7</v>
          </cell>
        </row>
        <row r="92">
          <cell r="A92" t="str">
            <v>bus-3071</v>
          </cell>
          <cell r="B92" t="str">
            <v>bus</v>
          </cell>
          <cell r="C92">
            <v>3071</v>
          </cell>
          <cell r="D92">
            <v>9.7899999999999991</v>
          </cell>
        </row>
        <row r="93">
          <cell r="A93" t="str">
            <v>bus-3072</v>
          </cell>
          <cell r="B93" t="str">
            <v>bus</v>
          </cell>
          <cell r="C93">
            <v>3072</v>
          </cell>
          <cell r="D93">
            <v>9.9</v>
          </cell>
        </row>
        <row r="94">
          <cell r="A94" t="str">
            <v>bus-3081</v>
          </cell>
          <cell r="B94" t="str">
            <v>bus</v>
          </cell>
          <cell r="C94">
            <v>3081</v>
          </cell>
          <cell r="D94">
            <v>4.43</v>
          </cell>
        </row>
        <row r="95">
          <cell r="A95" t="str">
            <v>bus-3082</v>
          </cell>
          <cell r="B95" t="str">
            <v>bus</v>
          </cell>
          <cell r="C95">
            <v>3082</v>
          </cell>
          <cell r="D95">
            <v>3.93</v>
          </cell>
        </row>
        <row r="96">
          <cell r="A96" t="str">
            <v>bus-3091</v>
          </cell>
          <cell r="B96" t="str">
            <v>bus</v>
          </cell>
          <cell r="C96">
            <v>3091</v>
          </cell>
          <cell r="D96">
            <v>14.37</v>
          </cell>
        </row>
        <row r="97">
          <cell r="A97" t="str">
            <v>bus-3092</v>
          </cell>
          <cell r="B97" t="str">
            <v>bus</v>
          </cell>
          <cell r="C97">
            <v>3092</v>
          </cell>
          <cell r="D97">
            <v>1.4</v>
          </cell>
        </row>
        <row r="98">
          <cell r="A98" t="str">
            <v>bus-4011</v>
          </cell>
          <cell r="B98" t="str">
            <v>bus</v>
          </cell>
          <cell r="C98">
            <v>4011</v>
          </cell>
          <cell r="D98">
            <v>4.97</v>
          </cell>
        </row>
        <row r="99">
          <cell r="A99" t="str">
            <v>bus-4012</v>
          </cell>
          <cell r="B99" t="str">
            <v>bus</v>
          </cell>
          <cell r="C99">
            <v>4012</v>
          </cell>
          <cell r="D99">
            <v>3.45</v>
          </cell>
        </row>
        <row r="100">
          <cell r="A100" t="str">
            <v>bus-4021</v>
          </cell>
          <cell r="B100" t="str">
            <v>bus</v>
          </cell>
          <cell r="C100">
            <v>4021</v>
          </cell>
          <cell r="D100">
            <v>2.46</v>
          </cell>
        </row>
        <row r="101">
          <cell r="A101" t="str">
            <v>bus-4022</v>
          </cell>
          <cell r="B101" t="str">
            <v>bus</v>
          </cell>
          <cell r="C101">
            <v>4022</v>
          </cell>
          <cell r="D101">
            <v>4.7300000000000004</v>
          </cell>
        </row>
        <row r="102">
          <cell r="A102" t="str">
            <v>bus-4031</v>
          </cell>
          <cell r="B102" t="str">
            <v>bus</v>
          </cell>
          <cell r="C102">
            <v>4031</v>
          </cell>
          <cell r="D102">
            <v>2.74</v>
          </cell>
        </row>
        <row r="103">
          <cell r="A103" t="str">
            <v>bus-4032</v>
          </cell>
          <cell r="B103" t="str">
            <v>bus</v>
          </cell>
          <cell r="C103">
            <v>4032</v>
          </cell>
          <cell r="D103">
            <v>3.78</v>
          </cell>
        </row>
        <row r="104">
          <cell r="A104" t="str">
            <v>bus-4041</v>
          </cell>
          <cell r="B104" t="str">
            <v>bus</v>
          </cell>
          <cell r="C104">
            <v>4041</v>
          </cell>
          <cell r="D104">
            <v>3.57</v>
          </cell>
        </row>
        <row r="105">
          <cell r="A105" t="str">
            <v>bus-4042</v>
          </cell>
          <cell r="B105" t="str">
            <v>bus</v>
          </cell>
          <cell r="C105">
            <v>4042</v>
          </cell>
          <cell r="D105">
            <v>5.72</v>
          </cell>
        </row>
        <row r="106">
          <cell r="A106" t="str">
            <v>bus-4051</v>
          </cell>
          <cell r="B106" t="str">
            <v>bus</v>
          </cell>
          <cell r="C106">
            <v>4051</v>
          </cell>
          <cell r="D106">
            <v>2.63</v>
          </cell>
        </row>
        <row r="107">
          <cell r="A107" t="str">
            <v>bus-4052</v>
          </cell>
          <cell r="B107" t="str">
            <v>bus</v>
          </cell>
          <cell r="C107">
            <v>4052</v>
          </cell>
          <cell r="D107">
            <v>6.99</v>
          </cell>
        </row>
        <row r="108">
          <cell r="A108" t="str">
            <v>bus-4061</v>
          </cell>
          <cell r="B108" t="str">
            <v>bus</v>
          </cell>
          <cell r="C108">
            <v>4061</v>
          </cell>
          <cell r="D108">
            <v>8.4499999999999993</v>
          </cell>
        </row>
        <row r="109">
          <cell r="A109" t="str">
            <v>bus-4062</v>
          </cell>
          <cell r="B109" t="str">
            <v>bus</v>
          </cell>
          <cell r="C109">
            <v>4062</v>
          </cell>
          <cell r="D109">
            <v>6.01</v>
          </cell>
        </row>
        <row r="110">
          <cell r="A110" t="str">
            <v>bus-4071</v>
          </cell>
          <cell r="B110" t="str">
            <v>bus</v>
          </cell>
          <cell r="C110">
            <v>4071</v>
          </cell>
          <cell r="D110">
            <v>2.2599999999999998</v>
          </cell>
        </row>
        <row r="111">
          <cell r="A111" t="str">
            <v>bus-4072</v>
          </cell>
          <cell r="B111" t="str">
            <v>bus</v>
          </cell>
          <cell r="C111">
            <v>4072</v>
          </cell>
          <cell r="D111">
            <v>1.43</v>
          </cell>
        </row>
        <row r="112">
          <cell r="A112" t="str">
            <v>bus-4091</v>
          </cell>
          <cell r="B112" t="str">
            <v>bus</v>
          </cell>
          <cell r="C112">
            <v>4091</v>
          </cell>
          <cell r="D112">
            <v>1.41</v>
          </cell>
        </row>
        <row r="113">
          <cell r="A113" t="str">
            <v>bus-4092</v>
          </cell>
          <cell r="B113" t="str">
            <v>bus</v>
          </cell>
          <cell r="C113">
            <v>4092</v>
          </cell>
          <cell r="D113">
            <v>1.1599999999999999</v>
          </cell>
        </row>
        <row r="114">
          <cell r="A114" t="str">
            <v>bus-4101</v>
          </cell>
          <cell r="B114" t="str">
            <v>bus</v>
          </cell>
          <cell r="C114">
            <v>4101</v>
          </cell>
          <cell r="D114">
            <v>12.14</v>
          </cell>
        </row>
        <row r="115">
          <cell r="A115" t="str">
            <v>bus-4102</v>
          </cell>
          <cell r="B115" t="str">
            <v>bus</v>
          </cell>
          <cell r="C115">
            <v>4102</v>
          </cell>
          <cell r="D115">
            <v>6.72</v>
          </cell>
        </row>
        <row r="116">
          <cell r="A116" t="str">
            <v>bus-4111</v>
          </cell>
          <cell r="B116" t="str">
            <v>bus</v>
          </cell>
          <cell r="C116">
            <v>4111</v>
          </cell>
          <cell r="D116">
            <v>1.92</v>
          </cell>
        </row>
        <row r="117">
          <cell r="A117" t="str">
            <v>bus-4112</v>
          </cell>
          <cell r="B117" t="str">
            <v>bus</v>
          </cell>
          <cell r="C117">
            <v>4112</v>
          </cell>
          <cell r="D117">
            <v>2.97</v>
          </cell>
        </row>
        <row r="118">
          <cell r="A118" t="str">
            <v>bus-4121</v>
          </cell>
          <cell r="B118" t="str">
            <v>bus</v>
          </cell>
          <cell r="C118">
            <v>4121</v>
          </cell>
          <cell r="D118">
            <v>11.8</v>
          </cell>
        </row>
        <row r="119">
          <cell r="A119" t="str">
            <v>bus-4122</v>
          </cell>
          <cell r="B119" t="str">
            <v>bus</v>
          </cell>
          <cell r="C119">
            <v>4122</v>
          </cell>
          <cell r="D119">
            <v>3.23</v>
          </cell>
        </row>
        <row r="120">
          <cell r="A120" t="str">
            <v>bus-5011</v>
          </cell>
          <cell r="B120" t="str">
            <v>bus</v>
          </cell>
          <cell r="C120">
            <v>5011</v>
          </cell>
          <cell r="D120">
            <v>9.25</v>
          </cell>
        </row>
        <row r="121">
          <cell r="A121" t="str">
            <v>bus-5012</v>
          </cell>
          <cell r="B121" t="str">
            <v>bus</v>
          </cell>
          <cell r="C121">
            <v>5012</v>
          </cell>
          <cell r="D121">
            <v>8.5500000000000007</v>
          </cell>
        </row>
        <row r="122">
          <cell r="A122" t="str">
            <v>bus-5031</v>
          </cell>
          <cell r="B122" t="str">
            <v>bus</v>
          </cell>
          <cell r="C122">
            <v>5031</v>
          </cell>
          <cell r="D122">
            <v>2.63</v>
          </cell>
        </row>
        <row r="123">
          <cell r="A123" t="str">
            <v>bus-5032</v>
          </cell>
          <cell r="B123" t="str">
            <v>bus</v>
          </cell>
          <cell r="C123">
            <v>5032</v>
          </cell>
          <cell r="D123">
            <v>1.91</v>
          </cell>
        </row>
        <row r="124">
          <cell r="A124" t="str">
            <v>bus-5041</v>
          </cell>
          <cell r="B124" t="str">
            <v>bus</v>
          </cell>
          <cell r="C124">
            <v>5041</v>
          </cell>
          <cell r="D124">
            <v>4.16</v>
          </cell>
        </row>
        <row r="125">
          <cell r="A125" t="str">
            <v>bus-5042</v>
          </cell>
          <cell r="B125" t="str">
            <v>bus</v>
          </cell>
          <cell r="C125">
            <v>5042</v>
          </cell>
          <cell r="D125">
            <v>3.89</v>
          </cell>
        </row>
        <row r="126">
          <cell r="A126" t="str">
            <v>bus-5051</v>
          </cell>
          <cell r="B126" t="str">
            <v>bus</v>
          </cell>
          <cell r="C126">
            <v>5051</v>
          </cell>
          <cell r="D126">
            <v>7.22</v>
          </cell>
        </row>
        <row r="127">
          <cell r="A127" t="str">
            <v>bus-5052</v>
          </cell>
          <cell r="B127" t="str">
            <v>bus</v>
          </cell>
          <cell r="C127">
            <v>5052</v>
          </cell>
          <cell r="D127">
            <v>8.64</v>
          </cell>
        </row>
        <row r="128">
          <cell r="A128" t="str">
            <v>bus-5061</v>
          </cell>
          <cell r="B128" t="str">
            <v>bus</v>
          </cell>
          <cell r="C128">
            <v>5061</v>
          </cell>
          <cell r="D128">
            <v>10.75</v>
          </cell>
        </row>
        <row r="129">
          <cell r="A129" t="str">
            <v>bus-5062</v>
          </cell>
          <cell r="B129" t="str">
            <v>bus</v>
          </cell>
          <cell r="C129">
            <v>5062</v>
          </cell>
          <cell r="D129">
            <v>5.96</v>
          </cell>
        </row>
        <row r="130">
          <cell r="A130" t="str">
            <v>bus-5071</v>
          </cell>
          <cell r="B130" t="str">
            <v>bus</v>
          </cell>
          <cell r="C130">
            <v>5071</v>
          </cell>
          <cell r="D130">
            <v>3.73</v>
          </cell>
        </row>
        <row r="131">
          <cell r="A131" t="str">
            <v>bus-5072</v>
          </cell>
          <cell r="B131" t="str">
            <v>bus</v>
          </cell>
          <cell r="C131">
            <v>5072</v>
          </cell>
          <cell r="D131">
            <v>8.9700000000000006</v>
          </cell>
        </row>
        <row r="132">
          <cell r="A132" t="str">
            <v>bus-5081</v>
          </cell>
          <cell r="B132" t="str">
            <v>bus</v>
          </cell>
          <cell r="C132">
            <v>5081</v>
          </cell>
          <cell r="D132">
            <v>1.51</v>
          </cell>
        </row>
        <row r="133">
          <cell r="A133" t="str">
            <v>bus-5082</v>
          </cell>
          <cell r="B133" t="str">
            <v>bus</v>
          </cell>
          <cell r="C133">
            <v>5082</v>
          </cell>
          <cell r="D133">
            <v>2.33</v>
          </cell>
        </row>
        <row r="134">
          <cell r="A134" t="str">
            <v>bus-5091</v>
          </cell>
          <cell r="B134" t="str">
            <v>bus</v>
          </cell>
          <cell r="C134">
            <v>5091</v>
          </cell>
          <cell r="D134">
            <v>4.5199999999999996</v>
          </cell>
        </row>
        <row r="135">
          <cell r="A135" t="str">
            <v>bus-5092</v>
          </cell>
          <cell r="B135" t="str">
            <v>bus</v>
          </cell>
          <cell r="C135">
            <v>5092</v>
          </cell>
          <cell r="D135">
            <v>13.82</v>
          </cell>
        </row>
        <row r="136">
          <cell r="A136" t="str">
            <v>bus-5101</v>
          </cell>
          <cell r="B136" t="str">
            <v>bus</v>
          </cell>
          <cell r="C136">
            <v>5101</v>
          </cell>
          <cell r="D136">
            <v>5.15</v>
          </cell>
        </row>
        <row r="137">
          <cell r="A137" t="str">
            <v>bus-5102</v>
          </cell>
          <cell r="B137" t="str">
            <v>bus</v>
          </cell>
          <cell r="C137">
            <v>5102</v>
          </cell>
          <cell r="D137">
            <v>7.99</v>
          </cell>
        </row>
        <row r="138">
          <cell r="A138" t="str">
            <v>bus-5111</v>
          </cell>
          <cell r="B138" t="str">
            <v>bus</v>
          </cell>
          <cell r="C138">
            <v>5111</v>
          </cell>
          <cell r="D138">
            <v>2.71</v>
          </cell>
        </row>
        <row r="139">
          <cell r="A139" t="str">
            <v>bus-5112</v>
          </cell>
          <cell r="B139" t="str">
            <v>bus</v>
          </cell>
          <cell r="C139">
            <v>5112</v>
          </cell>
          <cell r="D139">
            <v>2.6</v>
          </cell>
        </row>
        <row r="140">
          <cell r="A140" t="str">
            <v>bus-5121</v>
          </cell>
          <cell r="B140" t="str">
            <v>bus</v>
          </cell>
          <cell r="C140">
            <v>5121</v>
          </cell>
          <cell r="D140">
            <v>1.88</v>
          </cell>
        </row>
        <row r="141">
          <cell r="A141" t="str">
            <v>bus-5122</v>
          </cell>
          <cell r="B141" t="str">
            <v>bus</v>
          </cell>
          <cell r="C141">
            <v>5122</v>
          </cell>
          <cell r="D141">
            <v>2.36</v>
          </cell>
        </row>
        <row r="142">
          <cell r="A142" t="str">
            <v>bus-5131</v>
          </cell>
          <cell r="B142" t="str">
            <v>bus</v>
          </cell>
          <cell r="C142">
            <v>5131</v>
          </cell>
          <cell r="D142">
            <v>3.86</v>
          </cell>
        </row>
        <row r="143">
          <cell r="A143" t="str">
            <v>bus-5132</v>
          </cell>
          <cell r="B143" t="str">
            <v>bus</v>
          </cell>
          <cell r="C143">
            <v>5132</v>
          </cell>
          <cell r="D143">
            <v>5.04</v>
          </cell>
        </row>
        <row r="144">
          <cell r="A144" t="str">
            <v>bus-5141</v>
          </cell>
          <cell r="B144" t="str">
            <v>bus</v>
          </cell>
          <cell r="C144">
            <v>5141</v>
          </cell>
          <cell r="D144">
            <v>2.35</v>
          </cell>
        </row>
        <row r="145">
          <cell r="A145" t="str">
            <v>bus-5142</v>
          </cell>
          <cell r="B145" t="str">
            <v>bus</v>
          </cell>
          <cell r="C145">
            <v>5142</v>
          </cell>
          <cell r="D145">
            <v>0.92</v>
          </cell>
        </row>
        <row r="146">
          <cell r="A146" t="str">
            <v>bus-5151</v>
          </cell>
          <cell r="B146" t="str">
            <v>bus</v>
          </cell>
          <cell r="C146">
            <v>5151</v>
          </cell>
          <cell r="D146">
            <v>1.78</v>
          </cell>
        </row>
        <row r="147">
          <cell r="A147" t="str">
            <v>bus-5152</v>
          </cell>
          <cell r="B147" t="str">
            <v>bus</v>
          </cell>
          <cell r="C147">
            <v>5152</v>
          </cell>
          <cell r="D147">
            <v>1.96</v>
          </cell>
        </row>
        <row r="148">
          <cell r="A148" t="str">
            <v>bus-5161</v>
          </cell>
          <cell r="B148" t="str">
            <v>bus</v>
          </cell>
          <cell r="C148">
            <v>5161</v>
          </cell>
          <cell r="D148">
            <v>0.75</v>
          </cell>
        </row>
        <row r="149">
          <cell r="A149" t="str">
            <v>bus-5162</v>
          </cell>
          <cell r="B149" t="str">
            <v>bus</v>
          </cell>
          <cell r="C149">
            <v>5162</v>
          </cell>
          <cell r="D149">
            <v>0.45</v>
          </cell>
        </row>
        <row r="150">
          <cell r="A150" t="str">
            <v>bus-5171</v>
          </cell>
          <cell r="B150" t="str">
            <v>bus</v>
          </cell>
          <cell r="C150">
            <v>5171</v>
          </cell>
          <cell r="D150">
            <v>1.41</v>
          </cell>
        </row>
        <row r="151">
          <cell r="A151" t="str">
            <v>bus-5172</v>
          </cell>
          <cell r="B151" t="str">
            <v>bus</v>
          </cell>
          <cell r="C151">
            <v>5172</v>
          </cell>
          <cell r="D151">
            <v>1.65</v>
          </cell>
        </row>
        <row r="152">
          <cell r="A152" t="str">
            <v>bus-5181</v>
          </cell>
          <cell r="B152" t="str">
            <v>bus</v>
          </cell>
          <cell r="C152">
            <v>5181</v>
          </cell>
          <cell r="D152">
            <v>2.4300000000000002</v>
          </cell>
        </row>
        <row r="153">
          <cell r="A153" t="str">
            <v>bus-5182</v>
          </cell>
          <cell r="B153" t="str">
            <v>bus</v>
          </cell>
          <cell r="C153">
            <v>5182</v>
          </cell>
          <cell r="D153">
            <v>2.0499999999999998</v>
          </cell>
        </row>
        <row r="154">
          <cell r="A154" t="str">
            <v>bus-5191</v>
          </cell>
          <cell r="B154" t="str">
            <v>bus</v>
          </cell>
          <cell r="C154">
            <v>5191</v>
          </cell>
          <cell r="D154">
            <v>1.63</v>
          </cell>
        </row>
        <row r="155">
          <cell r="A155" t="str">
            <v>bus-5192</v>
          </cell>
          <cell r="B155" t="str">
            <v>bus</v>
          </cell>
          <cell r="C155">
            <v>5192</v>
          </cell>
          <cell r="D155">
            <v>0.57999999999999996</v>
          </cell>
        </row>
        <row r="156">
          <cell r="A156" t="str">
            <v>bus-5201</v>
          </cell>
          <cell r="B156" t="str">
            <v>bus</v>
          </cell>
          <cell r="C156">
            <v>5201</v>
          </cell>
          <cell r="D156">
            <v>1.63</v>
          </cell>
        </row>
        <row r="157">
          <cell r="A157" t="str">
            <v>bus-5202</v>
          </cell>
          <cell r="B157" t="str">
            <v>bus</v>
          </cell>
          <cell r="C157">
            <v>5202</v>
          </cell>
          <cell r="D157">
            <v>2.06</v>
          </cell>
        </row>
        <row r="158">
          <cell r="A158" t="str">
            <v>bus-5221</v>
          </cell>
          <cell r="B158" t="str">
            <v>bus</v>
          </cell>
          <cell r="C158">
            <v>5221</v>
          </cell>
          <cell r="D158">
            <v>1.52</v>
          </cell>
        </row>
        <row r="159">
          <cell r="A159" t="str">
            <v>bus-5222</v>
          </cell>
          <cell r="B159" t="str">
            <v>bus</v>
          </cell>
          <cell r="C159">
            <v>5222</v>
          </cell>
          <cell r="D159">
            <v>1.79</v>
          </cell>
        </row>
        <row r="160">
          <cell r="A160" t="str">
            <v>bus-6011</v>
          </cell>
          <cell r="B160" t="str">
            <v>bus</v>
          </cell>
          <cell r="C160">
            <v>6011</v>
          </cell>
          <cell r="D160">
            <v>3.93</v>
          </cell>
        </row>
        <row r="161">
          <cell r="A161" t="str">
            <v>bus-6012</v>
          </cell>
          <cell r="B161" t="str">
            <v>bus</v>
          </cell>
          <cell r="C161">
            <v>6012</v>
          </cell>
          <cell r="D161">
            <v>3.26</v>
          </cell>
        </row>
        <row r="162">
          <cell r="A162" t="str">
            <v>bus-6021</v>
          </cell>
          <cell r="B162" t="str">
            <v>bus</v>
          </cell>
          <cell r="C162">
            <v>6021</v>
          </cell>
          <cell r="D162">
            <v>17.79</v>
          </cell>
        </row>
        <row r="163">
          <cell r="A163" t="str">
            <v>bus-6022</v>
          </cell>
          <cell r="B163" t="str">
            <v>bus</v>
          </cell>
          <cell r="C163">
            <v>6022</v>
          </cell>
          <cell r="D163">
            <v>18.09</v>
          </cell>
        </row>
        <row r="164">
          <cell r="A164" t="str">
            <v>bus-6031</v>
          </cell>
          <cell r="B164" t="str">
            <v>bus</v>
          </cell>
          <cell r="C164">
            <v>6031</v>
          </cell>
          <cell r="D164">
            <v>11.55</v>
          </cell>
        </row>
        <row r="165">
          <cell r="A165" t="str">
            <v>bus-6032</v>
          </cell>
          <cell r="B165" t="str">
            <v>bus</v>
          </cell>
          <cell r="C165">
            <v>6032</v>
          </cell>
          <cell r="D165">
            <v>16.22</v>
          </cell>
        </row>
        <row r="166">
          <cell r="A166" t="str">
            <v>bus-6041</v>
          </cell>
          <cell r="B166" t="str">
            <v>bus</v>
          </cell>
          <cell r="C166">
            <v>6041</v>
          </cell>
          <cell r="D166">
            <v>2.76</v>
          </cell>
        </row>
        <row r="167">
          <cell r="A167" t="str">
            <v>bus-6042</v>
          </cell>
          <cell r="B167" t="str">
            <v>bus</v>
          </cell>
          <cell r="C167">
            <v>6042</v>
          </cell>
          <cell r="D167">
            <v>4.13</v>
          </cell>
        </row>
        <row r="168">
          <cell r="A168" t="str">
            <v>bus-6051</v>
          </cell>
          <cell r="B168" t="str">
            <v>bus</v>
          </cell>
          <cell r="C168">
            <v>6051</v>
          </cell>
          <cell r="D168">
            <v>9.67</v>
          </cell>
        </row>
        <row r="169">
          <cell r="A169" t="str">
            <v>bus-6052</v>
          </cell>
          <cell r="B169" t="str">
            <v>bus</v>
          </cell>
          <cell r="C169">
            <v>6052</v>
          </cell>
          <cell r="D169">
            <v>5.89</v>
          </cell>
        </row>
        <row r="170">
          <cell r="A170" t="str">
            <v>bus-6061</v>
          </cell>
          <cell r="B170" t="str">
            <v>bus</v>
          </cell>
          <cell r="C170">
            <v>6061</v>
          </cell>
          <cell r="D170">
            <v>9.2100000000000009</v>
          </cell>
        </row>
        <row r="171">
          <cell r="A171" t="str">
            <v>bus-6062</v>
          </cell>
          <cell r="B171" t="str">
            <v>bus</v>
          </cell>
          <cell r="C171">
            <v>6062</v>
          </cell>
          <cell r="D171">
            <v>5.54</v>
          </cell>
        </row>
        <row r="172">
          <cell r="A172" t="str">
            <v>bus-6071</v>
          </cell>
          <cell r="B172" t="str">
            <v>bus</v>
          </cell>
          <cell r="C172">
            <v>6071</v>
          </cell>
          <cell r="D172">
            <v>6.07</v>
          </cell>
        </row>
        <row r="173">
          <cell r="A173" t="str">
            <v>bus-6072</v>
          </cell>
          <cell r="B173" t="str">
            <v>bus</v>
          </cell>
          <cell r="C173">
            <v>6072</v>
          </cell>
          <cell r="D173">
            <v>7.46</v>
          </cell>
        </row>
        <row r="174">
          <cell r="A174" t="str">
            <v>bus-6081</v>
          </cell>
          <cell r="B174" t="str">
            <v>bus</v>
          </cell>
          <cell r="C174">
            <v>6081</v>
          </cell>
          <cell r="D174">
            <v>4.24</v>
          </cell>
        </row>
        <row r="175">
          <cell r="A175" t="str">
            <v>bus-6082</v>
          </cell>
          <cell r="B175" t="str">
            <v>bus</v>
          </cell>
          <cell r="C175">
            <v>6082</v>
          </cell>
          <cell r="D175">
            <v>3.75</v>
          </cell>
        </row>
        <row r="176">
          <cell r="A176" t="str">
            <v>bus-6091</v>
          </cell>
          <cell r="B176" t="str">
            <v>bus</v>
          </cell>
          <cell r="C176">
            <v>6091</v>
          </cell>
          <cell r="D176">
            <v>7.96</v>
          </cell>
        </row>
        <row r="177">
          <cell r="A177" t="str">
            <v>bus-6092</v>
          </cell>
          <cell r="B177" t="str">
            <v>bus</v>
          </cell>
          <cell r="C177">
            <v>6092</v>
          </cell>
          <cell r="D177">
            <v>3.74</v>
          </cell>
        </row>
        <row r="178">
          <cell r="A178" t="str">
            <v>bus-6101</v>
          </cell>
          <cell r="B178" t="str">
            <v>bus</v>
          </cell>
          <cell r="C178">
            <v>6101</v>
          </cell>
          <cell r="D178">
            <v>3.39</v>
          </cell>
        </row>
        <row r="179">
          <cell r="A179" t="str">
            <v>bus-6102</v>
          </cell>
          <cell r="B179" t="str">
            <v>bus</v>
          </cell>
          <cell r="C179">
            <v>6102</v>
          </cell>
          <cell r="D179">
            <v>5.89</v>
          </cell>
        </row>
        <row r="180">
          <cell r="A180" t="str">
            <v>bus-6111</v>
          </cell>
          <cell r="B180" t="str">
            <v>bus</v>
          </cell>
          <cell r="C180">
            <v>6111</v>
          </cell>
          <cell r="D180">
            <v>11.09</v>
          </cell>
        </row>
        <row r="181">
          <cell r="A181" t="str">
            <v>bus-6112</v>
          </cell>
          <cell r="B181" t="str">
            <v>bus</v>
          </cell>
          <cell r="C181">
            <v>6112</v>
          </cell>
          <cell r="D181">
            <v>13.19</v>
          </cell>
        </row>
        <row r="182">
          <cell r="A182" t="str">
            <v>bus-6121</v>
          </cell>
          <cell r="B182" t="str">
            <v>bus</v>
          </cell>
          <cell r="C182">
            <v>6121</v>
          </cell>
          <cell r="D182">
            <v>10.6</v>
          </cell>
        </row>
        <row r="183">
          <cell r="A183" t="str">
            <v>bus-6122</v>
          </cell>
          <cell r="B183" t="str">
            <v>bus</v>
          </cell>
          <cell r="C183">
            <v>6122</v>
          </cell>
          <cell r="D183">
            <v>7.58</v>
          </cell>
        </row>
        <row r="184">
          <cell r="A184" t="str">
            <v>bus-7011</v>
          </cell>
          <cell r="B184" t="str">
            <v>bus</v>
          </cell>
          <cell r="C184">
            <v>7011</v>
          </cell>
          <cell r="D184">
            <v>7.95</v>
          </cell>
        </row>
        <row r="185">
          <cell r="A185" t="str">
            <v>bus-7012</v>
          </cell>
          <cell r="B185" t="str">
            <v>bus</v>
          </cell>
          <cell r="C185">
            <v>7012</v>
          </cell>
          <cell r="D185">
            <v>6.49</v>
          </cell>
        </row>
        <row r="186">
          <cell r="A186" t="str">
            <v>bus-7021</v>
          </cell>
          <cell r="B186" t="str">
            <v>bus</v>
          </cell>
          <cell r="C186">
            <v>7021</v>
          </cell>
          <cell r="D186">
            <v>7.45</v>
          </cell>
        </row>
        <row r="187">
          <cell r="A187" t="str">
            <v>bus-7022</v>
          </cell>
          <cell r="B187" t="str">
            <v>bus</v>
          </cell>
          <cell r="C187">
            <v>7022</v>
          </cell>
          <cell r="D187">
            <v>4.3899999999999997</v>
          </cell>
        </row>
        <row r="188">
          <cell r="A188" t="str">
            <v>bus-7031</v>
          </cell>
          <cell r="B188" t="str">
            <v>bus</v>
          </cell>
          <cell r="C188">
            <v>7031</v>
          </cell>
          <cell r="D188">
            <v>4.09</v>
          </cell>
        </row>
        <row r="189">
          <cell r="A189" t="str">
            <v>bus-7032</v>
          </cell>
          <cell r="B189" t="str">
            <v>bus</v>
          </cell>
          <cell r="C189">
            <v>7032</v>
          </cell>
          <cell r="D189">
            <v>5.57</v>
          </cell>
        </row>
        <row r="190">
          <cell r="A190" t="str">
            <v>bus-7041</v>
          </cell>
          <cell r="B190" t="str">
            <v>bus</v>
          </cell>
          <cell r="C190">
            <v>7041</v>
          </cell>
          <cell r="D190">
            <v>4.82</v>
          </cell>
        </row>
        <row r="191">
          <cell r="A191" t="str">
            <v>bus-7042</v>
          </cell>
          <cell r="B191" t="str">
            <v>bus</v>
          </cell>
          <cell r="C191">
            <v>7042</v>
          </cell>
          <cell r="D191">
            <v>8.99</v>
          </cell>
        </row>
        <row r="192">
          <cell r="A192" t="str">
            <v>bus-7051</v>
          </cell>
          <cell r="B192" t="str">
            <v>bus</v>
          </cell>
          <cell r="C192">
            <v>7051</v>
          </cell>
          <cell r="D192">
            <v>7.25</v>
          </cell>
        </row>
        <row r="193">
          <cell r="A193" t="str">
            <v>bus-7052</v>
          </cell>
          <cell r="B193" t="str">
            <v>bus</v>
          </cell>
          <cell r="C193">
            <v>7052</v>
          </cell>
          <cell r="D193">
            <v>3.29</v>
          </cell>
        </row>
        <row r="194">
          <cell r="A194" t="str">
            <v>bus-7061</v>
          </cell>
          <cell r="B194" t="str">
            <v>bus</v>
          </cell>
          <cell r="C194">
            <v>7061</v>
          </cell>
          <cell r="D194">
            <v>4.42</v>
          </cell>
        </row>
        <row r="195">
          <cell r="A195" t="str">
            <v>bus-7062</v>
          </cell>
          <cell r="B195" t="str">
            <v>bus</v>
          </cell>
          <cell r="C195">
            <v>7062</v>
          </cell>
          <cell r="D195">
            <v>4.99</v>
          </cell>
        </row>
        <row r="196">
          <cell r="A196" t="str">
            <v>bus-7071</v>
          </cell>
          <cell r="B196" t="str">
            <v>bus</v>
          </cell>
          <cell r="C196">
            <v>7071</v>
          </cell>
          <cell r="D196">
            <v>2.95</v>
          </cell>
        </row>
        <row r="197">
          <cell r="A197" t="str">
            <v>bus-7072</v>
          </cell>
          <cell r="B197" t="str">
            <v>bus</v>
          </cell>
          <cell r="C197">
            <v>7072</v>
          </cell>
          <cell r="D197">
            <v>3.12</v>
          </cell>
        </row>
        <row r="198">
          <cell r="A198" t="str">
            <v>bus-7081</v>
          </cell>
          <cell r="B198" t="str">
            <v>bus</v>
          </cell>
          <cell r="C198">
            <v>7081</v>
          </cell>
          <cell r="D198">
            <v>2.62</v>
          </cell>
        </row>
        <row r="199">
          <cell r="A199" t="str">
            <v>bus-7082</v>
          </cell>
          <cell r="B199" t="str">
            <v>bus</v>
          </cell>
          <cell r="C199">
            <v>7082</v>
          </cell>
          <cell r="D199">
            <v>2.88</v>
          </cell>
        </row>
        <row r="200">
          <cell r="A200" t="str">
            <v>bus-9011</v>
          </cell>
          <cell r="B200" t="str">
            <v>bus</v>
          </cell>
          <cell r="C200">
            <v>9011</v>
          </cell>
          <cell r="D200">
            <v>9.59</v>
          </cell>
        </row>
        <row r="201">
          <cell r="A201" t="str">
            <v>bus-9012</v>
          </cell>
          <cell r="B201" t="str">
            <v>bus</v>
          </cell>
          <cell r="C201">
            <v>9012</v>
          </cell>
          <cell r="D201">
            <v>9.01</v>
          </cell>
        </row>
        <row r="202">
          <cell r="A202" t="str">
            <v>bus-9021</v>
          </cell>
          <cell r="B202" t="str">
            <v>bus</v>
          </cell>
          <cell r="C202">
            <v>9021</v>
          </cell>
          <cell r="D202">
            <v>4.8600000000000003</v>
          </cell>
        </row>
        <row r="203">
          <cell r="A203" t="str">
            <v>bus-9022</v>
          </cell>
          <cell r="B203" t="str">
            <v>bus</v>
          </cell>
          <cell r="C203">
            <v>9022</v>
          </cell>
          <cell r="D203">
            <v>3.48</v>
          </cell>
        </row>
        <row r="204">
          <cell r="A204" t="str">
            <v>bus-11</v>
          </cell>
          <cell r="B204" t="str">
            <v>bus</v>
          </cell>
          <cell r="C204">
            <v>11</v>
          </cell>
          <cell r="D204">
            <v>4.09</v>
          </cell>
        </row>
        <row r="205">
          <cell r="A205" t="str">
            <v>bus-12</v>
          </cell>
          <cell r="B205" t="str">
            <v>bus</v>
          </cell>
          <cell r="C205">
            <v>12</v>
          </cell>
          <cell r="D205">
            <v>6.33</v>
          </cell>
        </row>
        <row r="206">
          <cell r="A206" t="str">
            <v>bus-21</v>
          </cell>
          <cell r="B206" t="str">
            <v>bus</v>
          </cell>
          <cell r="C206">
            <v>21</v>
          </cell>
          <cell r="D206">
            <v>4.25</v>
          </cell>
        </row>
        <row r="207">
          <cell r="A207" t="str">
            <v>bus-22</v>
          </cell>
          <cell r="B207" t="str">
            <v>bus</v>
          </cell>
          <cell r="C207">
            <v>22</v>
          </cell>
          <cell r="D207">
            <v>4.84</v>
          </cell>
        </row>
        <row r="208">
          <cell r="A208" t="str">
            <v>bus-8021</v>
          </cell>
          <cell r="B208" t="str">
            <v>bus</v>
          </cell>
          <cell r="C208">
            <v>8021</v>
          </cell>
          <cell r="D208">
            <v>2.94</v>
          </cell>
        </row>
        <row r="209">
          <cell r="A209" t="str">
            <v>bus-8022</v>
          </cell>
          <cell r="B209" t="str">
            <v>bus</v>
          </cell>
          <cell r="C209">
            <v>8022</v>
          </cell>
          <cell r="D209">
            <v>3.45</v>
          </cell>
        </row>
        <row r="210">
          <cell r="A210" t="str">
            <v>bus-101</v>
          </cell>
          <cell r="B210" t="str">
            <v>bus</v>
          </cell>
          <cell r="C210">
            <v>101</v>
          </cell>
          <cell r="D210">
            <v>0.09</v>
          </cell>
        </row>
        <row r="211">
          <cell r="A211" t="str">
            <v>bus-102</v>
          </cell>
          <cell r="B211" t="str">
            <v>bus</v>
          </cell>
          <cell r="C211">
            <v>102</v>
          </cell>
          <cell r="D211">
            <v>0.09</v>
          </cell>
        </row>
        <row r="212">
          <cell r="A212" t="str">
            <v>bus-201</v>
          </cell>
          <cell r="B212" t="str">
            <v>bus</v>
          </cell>
          <cell r="C212">
            <v>201</v>
          </cell>
          <cell r="D212">
            <v>0.12</v>
          </cell>
        </row>
        <row r="213">
          <cell r="A213" t="str">
            <v>bus-202</v>
          </cell>
          <cell r="B213" t="str">
            <v>bus</v>
          </cell>
          <cell r="C213">
            <v>202</v>
          </cell>
          <cell r="D213">
            <v>0.12</v>
          </cell>
        </row>
        <row r="214">
          <cell r="A214" t="str">
            <v>bus-301</v>
          </cell>
          <cell r="B214" t="str">
            <v>bus</v>
          </cell>
          <cell r="C214">
            <v>301</v>
          </cell>
          <cell r="D214">
            <v>0.08</v>
          </cell>
        </row>
        <row r="215">
          <cell r="A215" t="str">
            <v>bus-302</v>
          </cell>
          <cell r="B215" t="str">
            <v>bus</v>
          </cell>
          <cell r="C215">
            <v>302</v>
          </cell>
          <cell r="D215">
            <v>0.08</v>
          </cell>
        </row>
        <row r="216">
          <cell r="A216" t="str">
            <v>bus-401</v>
          </cell>
          <cell r="B216" t="str">
            <v>bus</v>
          </cell>
          <cell r="C216">
            <v>401</v>
          </cell>
          <cell r="D216">
            <v>0.12</v>
          </cell>
        </row>
        <row r="217">
          <cell r="A217" t="str">
            <v>bus-402</v>
          </cell>
          <cell r="B217" t="str">
            <v>bus</v>
          </cell>
          <cell r="C217">
            <v>402</v>
          </cell>
          <cell r="D217">
            <v>0.12</v>
          </cell>
        </row>
        <row r="218">
          <cell r="A218" t="str">
            <v>bus-501</v>
          </cell>
          <cell r="B218" t="str">
            <v>bus</v>
          </cell>
          <cell r="C218">
            <v>501</v>
          </cell>
          <cell r="D218">
            <v>0.16</v>
          </cell>
        </row>
        <row r="219">
          <cell r="A219" t="str">
            <v>bus-502</v>
          </cell>
          <cell r="B219" t="str">
            <v>bus</v>
          </cell>
          <cell r="C219">
            <v>502</v>
          </cell>
          <cell r="D219">
            <v>0.16</v>
          </cell>
        </row>
        <row r="220">
          <cell r="A220" t="str">
            <v>bus-601</v>
          </cell>
          <cell r="B220" t="str">
            <v>bus</v>
          </cell>
          <cell r="C220">
            <v>601</v>
          </cell>
          <cell r="D220">
            <v>0.17</v>
          </cell>
        </row>
        <row r="221">
          <cell r="A221" t="str">
            <v>bus-602</v>
          </cell>
          <cell r="B221" t="str">
            <v>bus</v>
          </cell>
          <cell r="C221">
            <v>602</v>
          </cell>
          <cell r="D221">
            <v>0.17</v>
          </cell>
        </row>
        <row r="222">
          <cell r="A222" t="str">
            <v>bus-701</v>
          </cell>
          <cell r="B222" t="str">
            <v>bus</v>
          </cell>
          <cell r="C222">
            <v>701</v>
          </cell>
          <cell r="D222">
            <v>7.0000000000000007E-2</v>
          </cell>
        </row>
        <row r="223">
          <cell r="A223" t="str">
            <v>bus-702</v>
          </cell>
          <cell r="B223" t="str">
            <v>bus</v>
          </cell>
          <cell r="C223">
            <v>702</v>
          </cell>
          <cell r="D223">
            <v>7.0000000000000007E-2</v>
          </cell>
        </row>
        <row r="224">
          <cell r="A224" t="str">
            <v>bus-801</v>
          </cell>
          <cell r="B224" t="str">
            <v>bus</v>
          </cell>
          <cell r="C224">
            <v>801</v>
          </cell>
          <cell r="D224">
            <v>0.09</v>
          </cell>
        </row>
        <row r="225">
          <cell r="A225" t="str">
            <v>bus-802</v>
          </cell>
          <cell r="B225" t="str">
            <v>bus</v>
          </cell>
          <cell r="C225">
            <v>802</v>
          </cell>
          <cell r="D225">
            <v>0.09</v>
          </cell>
        </row>
        <row r="226">
          <cell r="A226" t="str">
            <v xml:space="preserve">mer-MODO: mer    </v>
          </cell>
          <cell r="B226" t="str">
            <v>mer</v>
          </cell>
          <cell r="C226" t="str">
            <v xml:space="preserve">MODO: mer    </v>
          </cell>
        </row>
        <row r="227">
          <cell r="A227" t="str">
            <v>mer-LINEA</v>
          </cell>
          <cell r="B227" t="str">
            <v>mer</v>
          </cell>
          <cell r="C227" t="str">
            <v>LINEA</v>
          </cell>
          <cell r="D227" t="str">
            <v>FLOTA</v>
          </cell>
        </row>
        <row r="228">
          <cell r="A228" t="str">
            <v>mer-80001</v>
          </cell>
          <cell r="B228" t="str">
            <v>mer</v>
          </cell>
          <cell r="C228">
            <v>80001</v>
          </cell>
          <cell r="D228">
            <v>3.64</v>
          </cell>
        </row>
        <row r="229">
          <cell r="A229" t="str">
            <v>mer-80002</v>
          </cell>
          <cell r="B229" t="str">
            <v>mer</v>
          </cell>
          <cell r="C229">
            <v>80002</v>
          </cell>
          <cell r="D229">
            <v>3.64</v>
          </cell>
        </row>
        <row r="230">
          <cell r="A230" t="str">
            <v>mer-81001</v>
          </cell>
          <cell r="B230" t="str">
            <v>mer</v>
          </cell>
          <cell r="C230">
            <v>81001</v>
          </cell>
          <cell r="D230">
            <v>5.64</v>
          </cell>
        </row>
        <row r="231">
          <cell r="A231" t="str">
            <v>mer-81002</v>
          </cell>
          <cell r="B231" t="str">
            <v>mer</v>
          </cell>
          <cell r="C231">
            <v>81002</v>
          </cell>
          <cell r="D231">
            <v>5.64</v>
          </cell>
        </row>
        <row r="232">
          <cell r="A232" t="str">
            <v xml:space="preserve">txc-MODO: txc    </v>
          </cell>
          <cell r="B232" t="str">
            <v>txc</v>
          </cell>
          <cell r="C232" t="str">
            <v xml:space="preserve">MODO: txc    </v>
          </cell>
        </row>
        <row r="233">
          <cell r="A233" t="str">
            <v>txc-LINEA</v>
          </cell>
          <cell r="B233" t="str">
            <v>txc</v>
          </cell>
          <cell r="C233" t="str">
            <v>LINEA</v>
          </cell>
          <cell r="D233" t="str">
            <v>FLOTA</v>
          </cell>
        </row>
        <row r="234">
          <cell r="A234" t="str">
            <v>txc-101</v>
          </cell>
          <cell r="B234" t="str">
            <v>txc</v>
          </cell>
          <cell r="C234">
            <v>101</v>
          </cell>
          <cell r="D234">
            <v>0.68</v>
          </cell>
        </row>
        <row r="235">
          <cell r="A235" t="str">
            <v>txc-102</v>
          </cell>
          <cell r="B235" t="str">
            <v>txc</v>
          </cell>
          <cell r="C235">
            <v>102</v>
          </cell>
          <cell r="D235">
            <v>1.79</v>
          </cell>
        </row>
        <row r="236">
          <cell r="A236" t="str">
            <v>txc-1011</v>
          </cell>
          <cell r="B236" t="str">
            <v>txc</v>
          </cell>
          <cell r="C236">
            <v>1011</v>
          </cell>
          <cell r="D236">
            <v>0.91</v>
          </cell>
        </row>
        <row r="237">
          <cell r="A237" t="str">
            <v>txc-1012</v>
          </cell>
          <cell r="B237" t="str">
            <v>txc</v>
          </cell>
          <cell r="C237">
            <v>1012</v>
          </cell>
          <cell r="D237">
            <v>0.35</v>
          </cell>
        </row>
        <row r="238">
          <cell r="A238" t="str">
            <v>txc-1001</v>
          </cell>
          <cell r="B238" t="str">
            <v>txc</v>
          </cell>
          <cell r="C238">
            <v>1001</v>
          </cell>
          <cell r="D238">
            <v>1.2</v>
          </cell>
        </row>
        <row r="239">
          <cell r="A239" t="str">
            <v>txc-1002</v>
          </cell>
          <cell r="B239" t="str">
            <v>txc</v>
          </cell>
          <cell r="C239">
            <v>1002</v>
          </cell>
          <cell r="D239">
            <v>2.68</v>
          </cell>
        </row>
        <row r="240">
          <cell r="A240" t="str">
            <v>txc-1021</v>
          </cell>
          <cell r="B240" t="str">
            <v>txc</v>
          </cell>
          <cell r="C240">
            <v>1021</v>
          </cell>
          <cell r="D240">
            <v>0.38</v>
          </cell>
        </row>
        <row r="241">
          <cell r="A241" t="str">
            <v>txc-1022</v>
          </cell>
          <cell r="B241" t="str">
            <v>txc</v>
          </cell>
          <cell r="C241">
            <v>1022</v>
          </cell>
          <cell r="D241">
            <v>1.1200000000000001</v>
          </cell>
        </row>
        <row r="242">
          <cell r="A242" t="str">
            <v>txc-10001</v>
          </cell>
          <cell r="B242" t="str">
            <v>txc</v>
          </cell>
          <cell r="C242">
            <v>10001</v>
          </cell>
          <cell r="D242">
            <v>4.55</v>
          </cell>
        </row>
        <row r="243">
          <cell r="A243" t="str">
            <v>txc-10002</v>
          </cell>
          <cell r="B243" t="str">
            <v>txc</v>
          </cell>
          <cell r="C243">
            <v>10002</v>
          </cell>
          <cell r="D243">
            <v>12.1</v>
          </cell>
        </row>
        <row r="244">
          <cell r="A244" t="str">
            <v>txc-10011</v>
          </cell>
          <cell r="B244" t="str">
            <v>txc</v>
          </cell>
          <cell r="C244">
            <v>10011</v>
          </cell>
          <cell r="D244">
            <v>25.43</v>
          </cell>
        </row>
        <row r="245">
          <cell r="A245" t="str">
            <v>txc-10012</v>
          </cell>
          <cell r="B245" t="str">
            <v>txc</v>
          </cell>
          <cell r="C245">
            <v>10012</v>
          </cell>
          <cell r="D245">
            <v>13.18</v>
          </cell>
        </row>
        <row r="246">
          <cell r="A246" t="str">
            <v>txc-10211</v>
          </cell>
          <cell r="B246" t="str">
            <v>txc</v>
          </cell>
          <cell r="C246">
            <v>10211</v>
          </cell>
          <cell r="D246">
            <v>3.24</v>
          </cell>
        </row>
        <row r="247">
          <cell r="A247" t="str">
            <v>txc-10212</v>
          </cell>
          <cell r="B247" t="str">
            <v>txc</v>
          </cell>
          <cell r="C247">
            <v>10212</v>
          </cell>
          <cell r="D247">
            <v>1.96</v>
          </cell>
        </row>
        <row r="248">
          <cell r="A248" t="str">
            <v>txc-10201</v>
          </cell>
          <cell r="B248" t="str">
            <v>txc</v>
          </cell>
          <cell r="C248">
            <v>10201</v>
          </cell>
          <cell r="D248">
            <v>1.87</v>
          </cell>
        </row>
        <row r="249">
          <cell r="A249" t="str">
            <v>txc-10202</v>
          </cell>
          <cell r="B249" t="str">
            <v>txc</v>
          </cell>
          <cell r="C249">
            <v>10202</v>
          </cell>
          <cell r="D249">
            <v>2.11</v>
          </cell>
        </row>
        <row r="250">
          <cell r="A250" t="str">
            <v>txc-10501</v>
          </cell>
          <cell r="B250" t="str">
            <v>txc</v>
          </cell>
          <cell r="C250">
            <v>10501</v>
          </cell>
          <cell r="D250">
            <v>0.32</v>
          </cell>
        </row>
        <row r="251">
          <cell r="A251" t="str">
            <v>txc-10502</v>
          </cell>
          <cell r="B251" t="str">
            <v>txc</v>
          </cell>
          <cell r="C251">
            <v>10502</v>
          </cell>
          <cell r="D251">
            <v>1.67</v>
          </cell>
        </row>
        <row r="252">
          <cell r="A252" t="str">
            <v>txc-10611</v>
          </cell>
          <cell r="B252" t="str">
            <v>txc</v>
          </cell>
          <cell r="C252">
            <v>10611</v>
          </cell>
          <cell r="D252">
            <v>0.42</v>
          </cell>
        </row>
        <row r="253">
          <cell r="A253" t="str">
            <v>txc-10612</v>
          </cell>
          <cell r="B253" t="str">
            <v>txc</v>
          </cell>
          <cell r="C253">
            <v>10612</v>
          </cell>
          <cell r="D253">
            <v>1.91</v>
          </cell>
        </row>
        <row r="254">
          <cell r="A254" t="str">
            <v>txc-10601</v>
          </cell>
          <cell r="B254" t="str">
            <v>txc</v>
          </cell>
          <cell r="C254">
            <v>10601</v>
          </cell>
          <cell r="D254">
            <v>9.9</v>
          </cell>
        </row>
        <row r="255">
          <cell r="A255" t="str">
            <v>txc-10602</v>
          </cell>
          <cell r="B255" t="str">
            <v>txc</v>
          </cell>
          <cell r="C255">
            <v>10602</v>
          </cell>
          <cell r="D255">
            <v>18.16</v>
          </cell>
        </row>
        <row r="256">
          <cell r="A256" t="str">
            <v>txc-10701</v>
          </cell>
          <cell r="B256" t="str">
            <v>txc</v>
          </cell>
          <cell r="C256">
            <v>10701</v>
          </cell>
          <cell r="D256">
            <v>1.03</v>
          </cell>
        </row>
        <row r="257">
          <cell r="A257" t="str">
            <v>txc-10702</v>
          </cell>
          <cell r="B257" t="str">
            <v>txc</v>
          </cell>
          <cell r="C257">
            <v>10702</v>
          </cell>
          <cell r="D257">
            <v>12.21</v>
          </cell>
        </row>
        <row r="258">
          <cell r="A258" t="str">
            <v>txc-11601</v>
          </cell>
          <cell r="B258" t="str">
            <v>txc</v>
          </cell>
          <cell r="C258">
            <v>11601</v>
          </cell>
          <cell r="D258">
            <v>0.28999999999999998</v>
          </cell>
        </row>
        <row r="259">
          <cell r="A259" t="str">
            <v>txc-11602</v>
          </cell>
          <cell r="B259" t="str">
            <v>txc</v>
          </cell>
          <cell r="C259">
            <v>11602</v>
          </cell>
          <cell r="D259">
            <v>6.23</v>
          </cell>
        </row>
        <row r="260">
          <cell r="A260" t="str">
            <v>txc-11801</v>
          </cell>
          <cell r="B260" t="str">
            <v>txc</v>
          </cell>
          <cell r="C260">
            <v>11801</v>
          </cell>
          <cell r="D260">
            <v>0.3</v>
          </cell>
        </row>
        <row r="261">
          <cell r="A261" t="str">
            <v>txc-11802</v>
          </cell>
          <cell r="B261" t="str">
            <v>txc</v>
          </cell>
          <cell r="C261">
            <v>11802</v>
          </cell>
          <cell r="D261">
            <v>0.39</v>
          </cell>
        </row>
        <row r="262">
          <cell r="A262" t="str">
            <v>txc-11901</v>
          </cell>
          <cell r="B262" t="str">
            <v>txc</v>
          </cell>
          <cell r="C262">
            <v>11901</v>
          </cell>
          <cell r="D262">
            <v>0.48</v>
          </cell>
        </row>
        <row r="263">
          <cell r="A263" t="str">
            <v>txc-11902</v>
          </cell>
          <cell r="B263" t="str">
            <v>txc</v>
          </cell>
          <cell r="C263">
            <v>11902</v>
          </cell>
          <cell r="D263">
            <v>0.49</v>
          </cell>
        </row>
        <row r="264">
          <cell r="A264" t="str">
            <v>txc-1201</v>
          </cell>
          <cell r="B264" t="str">
            <v>txc</v>
          </cell>
          <cell r="C264">
            <v>1201</v>
          </cell>
          <cell r="D264">
            <v>0.2</v>
          </cell>
        </row>
        <row r="265">
          <cell r="A265" t="str">
            <v>txc-1202</v>
          </cell>
          <cell r="B265" t="str">
            <v>txc</v>
          </cell>
          <cell r="C265">
            <v>1202</v>
          </cell>
          <cell r="D265">
            <v>4.42</v>
          </cell>
        </row>
        <row r="266">
          <cell r="A266" t="str">
            <v>txc-12001</v>
          </cell>
          <cell r="B266" t="str">
            <v>txc</v>
          </cell>
          <cell r="C266">
            <v>12001</v>
          </cell>
          <cell r="D266">
            <v>5.67</v>
          </cell>
        </row>
        <row r="267">
          <cell r="A267" t="str">
            <v>txc-12002</v>
          </cell>
          <cell r="B267" t="str">
            <v>txc</v>
          </cell>
          <cell r="C267">
            <v>12002</v>
          </cell>
          <cell r="D267">
            <v>3.61</v>
          </cell>
        </row>
        <row r="268">
          <cell r="A268" t="str">
            <v>txc-12011</v>
          </cell>
          <cell r="B268" t="str">
            <v>txc</v>
          </cell>
          <cell r="C268">
            <v>12011</v>
          </cell>
          <cell r="D268">
            <v>1.38</v>
          </cell>
        </row>
        <row r="269">
          <cell r="A269" t="str">
            <v>txc-12012</v>
          </cell>
          <cell r="B269" t="str">
            <v>txc</v>
          </cell>
          <cell r="C269">
            <v>12012</v>
          </cell>
          <cell r="D269">
            <v>1.64</v>
          </cell>
        </row>
        <row r="270">
          <cell r="A270" t="str">
            <v>txc-12601</v>
          </cell>
          <cell r="B270" t="str">
            <v>txc</v>
          </cell>
          <cell r="C270">
            <v>12601</v>
          </cell>
          <cell r="D270">
            <v>0.38</v>
          </cell>
        </row>
        <row r="271">
          <cell r="A271" t="str">
            <v>txc-12602</v>
          </cell>
          <cell r="B271" t="str">
            <v>txc</v>
          </cell>
          <cell r="C271">
            <v>12602</v>
          </cell>
          <cell r="D271">
            <v>0.46</v>
          </cell>
        </row>
        <row r="272">
          <cell r="A272" t="str">
            <v>txc-12901</v>
          </cell>
          <cell r="B272" t="str">
            <v>txc</v>
          </cell>
          <cell r="C272">
            <v>12901</v>
          </cell>
          <cell r="D272">
            <v>1.75</v>
          </cell>
        </row>
        <row r="273">
          <cell r="A273" t="str">
            <v>txc-12902</v>
          </cell>
          <cell r="B273" t="str">
            <v>txc</v>
          </cell>
          <cell r="C273">
            <v>12902</v>
          </cell>
          <cell r="D273">
            <v>1.83</v>
          </cell>
        </row>
        <row r="274">
          <cell r="A274" t="str">
            <v>txc-12911</v>
          </cell>
          <cell r="B274" t="str">
            <v>txc</v>
          </cell>
          <cell r="C274">
            <v>12911</v>
          </cell>
          <cell r="D274">
            <v>0.87</v>
          </cell>
        </row>
        <row r="275">
          <cell r="A275" t="str">
            <v>txc-12912</v>
          </cell>
          <cell r="B275" t="str">
            <v>txc</v>
          </cell>
          <cell r="C275">
            <v>12912</v>
          </cell>
          <cell r="D275">
            <v>18.89</v>
          </cell>
        </row>
        <row r="276">
          <cell r="A276" t="str">
            <v>txc-1211</v>
          </cell>
          <cell r="B276" t="str">
            <v>txc</v>
          </cell>
          <cell r="C276">
            <v>1211</v>
          </cell>
          <cell r="D276">
            <v>0.36</v>
          </cell>
        </row>
        <row r="277">
          <cell r="A277" t="str">
            <v>txc-1212</v>
          </cell>
          <cell r="B277" t="str">
            <v>txc</v>
          </cell>
          <cell r="C277">
            <v>1212</v>
          </cell>
          <cell r="D277">
            <v>9.58</v>
          </cell>
        </row>
        <row r="278">
          <cell r="A278" t="str">
            <v>txc-1301</v>
          </cell>
          <cell r="B278" t="str">
            <v>txc</v>
          </cell>
          <cell r="C278">
            <v>1301</v>
          </cell>
          <cell r="D278">
            <v>1.1499999999999999</v>
          </cell>
        </row>
        <row r="279">
          <cell r="A279" t="str">
            <v>txc-1302</v>
          </cell>
          <cell r="B279" t="str">
            <v>txc</v>
          </cell>
          <cell r="C279">
            <v>1302</v>
          </cell>
          <cell r="D279">
            <v>1.06</v>
          </cell>
        </row>
        <row r="280">
          <cell r="A280" t="str">
            <v>txc-13001</v>
          </cell>
          <cell r="B280" t="str">
            <v>txc</v>
          </cell>
          <cell r="C280">
            <v>13001</v>
          </cell>
          <cell r="D280">
            <v>0.14000000000000001</v>
          </cell>
        </row>
        <row r="281">
          <cell r="A281" t="str">
            <v>txc-13002</v>
          </cell>
          <cell r="B281" t="str">
            <v>txc</v>
          </cell>
          <cell r="C281">
            <v>13002</v>
          </cell>
          <cell r="D281">
            <v>0.15</v>
          </cell>
        </row>
        <row r="282">
          <cell r="A282" t="str">
            <v>txc-13011</v>
          </cell>
          <cell r="B282" t="str">
            <v>txc</v>
          </cell>
          <cell r="C282">
            <v>13011</v>
          </cell>
          <cell r="D282">
            <v>0.13</v>
          </cell>
        </row>
        <row r="283">
          <cell r="A283" t="str">
            <v>txc-13012</v>
          </cell>
          <cell r="B283" t="str">
            <v>txc</v>
          </cell>
          <cell r="C283">
            <v>13012</v>
          </cell>
          <cell r="D283">
            <v>0.16</v>
          </cell>
        </row>
        <row r="284">
          <cell r="A284" t="str">
            <v>txc-13201</v>
          </cell>
          <cell r="B284" t="str">
            <v>txc</v>
          </cell>
          <cell r="C284">
            <v>13201</v>
          </cell>
          <cell r="D284">
            <v>1.02</v>
          </cell>
        </row>
        <row r="285">
          <cell r="A285" t="str">
            <v>txc-13202</v>
          </cell>
          <cell r="B285" t="str">
            <v>txc</v>
          </cell>
          <cell r="C285">
            <v>13202</v>
          </cell>
          <cell r="D285">
            <v>6.62</v>
          </cell>
        </row>
        <row r="286">
          <cell r="A286" t="str">
            <v>txc-13211</v>
          </cell>
          <cell r="B286" t="str">
            <v>txc</v>
          </cell>
          <cell r="C286">
            <v>13211</v>
          </cell>
          <cell r="D286">
            <v>0.21</v>
          </cell>
        </row>
        <row r="287">
          <cell r="A287" t="str">
            <v>txc-13212</v>
          </cell>
          <cell r="B287" t="str">
            <v>txc</v>
          </cell>
          <cell r="C287">
            <v>13212</v>
          </cell>
          <cell r="D287">
            <v>0.22</v>
          </cell>
        </row>
        <row r="288">
          <cell r="A288" t="str">
            <v>txc-13301</v>
          </cell>
          <cell r="B288" t="str">
            <v>txc</v>
          </cell>
          <cell r="C288">
            <v>13301</v>
          </cell>
          <cell r="D288">
            <v>3.17</v>
          </cell>
        </row>
        <row r="289">
          <cell r="A289" t="str">
            <v>txc-13302</v>
          </cell>
          <cell r="B289" t="str">
            <v>txc</v>
          </cell>
          <cell r="C289">
            <v>13302</v>
          </cell>
          <cell r="D289">
            <v>22.13</v>
          </cell>
        </row>
        <row r="290">
          <cell r="A290" t="str">
            <v>txc-13321</v>
          </cell>
          <cell r="B290" t="str">
            <v>txc</v>
          </cell>
          <cell r="C290">
            <v>13321</v>
          </cell>
          <cell r="D290">
            <v>0.21</v>
          </cell>
        </row>
        <row r="291">
          <cell r="A291" t="str">
            <v>txc-13322</v>
          </cell>
          <cell r="B291" t="str">
            <v>txc</v>
          </cell>
          <cell r="C291">
            <v>13322</v>
          </cell>
          <cell r="D291">
            <v>0.41</v>
          </cell>
        </row>
        <row r="292">
          <cell r="A292" t="str">
            <v>txc-13311</v>
          </cell>
          <cell r="B292" t="str">
            <v>txc</v>
          </cell>
          <cell r="C292">
            <v>13311</v>
          </cell>
          <cell r="D292">
            <v>4.04</v>
          </cell>
        </row>
        <row r="293">
          <cell r="A293" t="str">
            <v>txc-13312</v>
          </cell>
          <cell r="B293" t="str">
            <v>txc</v>
          </cell>
          <cell r="C293">
            <v>13312</v>
          </cell>
          <cell r="D293">
            <v>0.1</v>
          </cell>
        </row>
        <row r="294">
          <cell r="A294" t="str">
            <v>txc-13411</v>
          </cell>
          <cell r="B294" t="str">
            <v>txc</v>
          </cell>
          <cell r="C294">
            <v>13411</v>
          </cell>
          <cell r="D294">
            <v>0.13</v>
          </cell>
        </row>
        <row r="295">
          <cell r="A295" t="str">
            <v>txc-13412</v>
          </cell>
          <cell r="B295" t="str">
            <v>txc</v>
          </cell>
          <cell r="C295">
            <v>13412</v>
          </cell>
          <cell r="D295">
            <v>0.14000000000000001</v>
          </cell>
        </row>
        <row r="296">
          <cell r="A296" t="str">
            <v>txc-13401</v>
          </cell>
          <cell r="B296" t="str">
            <v>txc</v>
          </cell>
          <cell r="C296">
            <v>13401</v>
          </cell>
          <cell r="D296">
            <v>0.93</v>
          </cell>
        </row>
        <row r="297">
          <cell r="A297" t="str">
            <v>txc-13402</v>
          </cell>
          <cell r="B297" t="str">
            <v>txc</v>
          </cell>
          <cell r="C297">
            <v>13402</v>
          </cell>
          <cell r="D297">
            <v>1.06</v>
          </cell>
        </row>
        <row r="298">
          <cell r="A298" t="str">
            <v>txc-13501</v>
          </cell>
          <cell r="B298" t="str">
            <v>txc</v>
          </cell>
          <cell r="C298">
            <v>13501</v>
          </cell>
          <cell r="D298">
            <v>0.76</v>
          </cell>
        </row>
        <row r="299">
          <cell r="A299" t="str">
            <v>txc-13502</v>
          </cell>
          <cell r="B299" t="str">
            <v>txc</v>
          </cell>
          <cell r="C299">
            <v>13502</v>
          </cell>
          <cell r="D299">
            <v>0.9</v>
          </cell>
        </row>
        <row r="300">
          <cell r="A300" t="str">
            <v>txc-13511</v>
          </cell>
          <cell r="B300" t="str">
            <v>txc</v>
          </cell>
          <cell r="C300">
            <v>13511</v>
          </cell>
          <cell r="D300">
            <v>0.19</v>
          </cell>
        </row>
        <row r="301">
          <cell r="A301" t="str">
            <v>txc-13512</v>
          </cell>
          <cell r="B301" t="str">
            <v>txc</v>
          </cell>
          <cell r="C301">
            <v>13512</v>
          </cell>
          <cell r="D301">
            <v>2.42</v>
          </cell>
        </row>
        <row r="302">
          <cell r="A302" t="str">
            <v>txc-13601</v>
          </cell>
          <cell r="B302" t="str">
            <v>txc</v>
          </cell>
          <cell r="C302">
            <v>13601</v>
          </cell>
          <cell r="D302">
            <v>0.37</v>
          </cell>
        </row>
        <row r="303">
          <cell r="A303" t="str">
            <v>txc-13602</v>
          </cell>
          <cell r="B303" t="str">
            <v>txc</v>
          </cell>
          <cell r="C303">
            <v>13602</v>
          </cell>
          <cell r="D303">
            <v>10.17</v>
          </cell>
        </row>
        <row r="304">
          <cell r="A304" t="str">
            <v>txc-1411</v>
          </cell>
          <cell r="B304" t="str">
            <v>txc</v>
          </cell>
          <cell r="C304">
            <v>1411</v>
          </cell>
          <cell r="D304">
            <v>1.55</v>
          </cell>
        </row>
        <row r="305">
          <cell r="A305" t="str">
            <v>txc-1412</v>
          </cell>
          <cell r="B305" t="str">
            <v>txc</v>
          </cell>
          <cell r="C305">
            <v>1412</v>
          </cell>
          <cell r="D305">
            <v>0.11</v>
          </cell>
        </row>
        <row r="306">
          <cell r="A306" t="str">
            <v>txc-1422</v>
          </cell>
          <cell r="B306" t="str">
            <v>txc</v>
          </cell>
          <cell r="C306">
            <v>1422</v>
          </cell>
          <cell r="D306">
            <v>5.46</v>
          </cell>
        </row>
        <row r="307">
          <cell r="A307" t="str">
            <v>txc-1431</v>
          </cell>
          <cell r="B307" t="str">
            <v>txc</v>
          </cell>
          <cell r="C307">
            <v>1431</v>
          </cell>
          <cell r="D307">
            <v>3.69</v>
          </cell>
        </row>
        <row r="308">
          <cell r="A308" t="str">
            <v>txc-1432</v>
          </cell>
          <cell r="B308" t="str">
            <v>txc</v>
          </cell>
          <cell r="C308">
            <v>1432</v>
          </cell>
          <cell r="D308">
            <v>12.8</v>
          </cell>
        </row>
        <row r="309">
          <cell r="A309" t="str">
            <v>txc-15201</v>
          </cell>
          <cell r="B309" t="str">
            <v>txc</v>
          </cell>
          <cell r="C309">
            <v>15201</v>
          </cell>
          <cell r="D309">
            <v>1.93</v>
          </cell>
        </row>
        <row r="310">
          <cell r="A310" t="str">
            <v>txc-15202</v>
          </cell>
          <cell r="B310" t="str">
            <v>txc</v>
          </cell>
          <cell r="C310">
            <v>15202</v>
          </cell>
          <cell r="D310">
            <v>9.81</v>
          </cell>
        </row>
        <row r="311">
          <cell r="A311" t="str">
            <v>txc-15211</v>
          </cell>
          <cell r="B311" t="str">
            <v>txc</v>
          </cell>
          <cell r="C311">
            <v>15211</v>
          </cell>
          <cell r="D311">
            <v>4.07</v>
          </cell>
        </row>
        <row r="312">
          <cell r="A312" t="str">
            <v>txc-15212</v>
          </cell>
          <cell r="B312" t="str">
            <v>txc</v>
          </cell>
          <cell r="C312">
            <v>15212</v>
          </cell>
          <cell r="D312">
            <v>0.52</v>
          </cell>
        </row>
        <row r="313">
          <cell r="A313" t="str">
            <v>txc-15301</v>
          </cell>
          <cell r="B313" t="str">
            <v>txc</v>
          </cell>
          <cell r="C313">
            <v>15301</v>
          </cell>
          <cell r="D313">
            <v>3.76</v>
          </cell>
        </row>
        <row r="314">
          <cell r="A314" t="str">
            <v>txc-15302</v>
          </cell>
          <cell r="B314" t="str">
            <v>txc</v>
          </cell>
          <cell r="C314">
            <v>15302</v>
          </cell>
          <cell r="D314">
            <v>23.11</v>
          </cell>
        </row>
        <row r="315">
          <cell r="A315" t="str">
            <v>txc-15311</v>
          </cell>
          <cell r="B315" t="str">
            <v>txc</v>
          </cell>
          <cell r="C315">
            <v>15311</v>
          </cell>
          <cell r="D315">
            <v>4.7</v>
          </cell>
        </row>
        <row r="316">
          <cell r="A316" t="str">
            <v>txc-15312</v>
          </cell>
          <cell r="B316" t="str">
            <v>txc</v>
          </cell>
          <cell r="C316">
            <v>15312</v>
          </cell>
          <cell r="D316">
            <v>2.54</v>
          </cell>
        </row>
        <row r="317">
          <cell r="A317" t="str">
            <v>txc-15501</v>
          </cell>
          <cell r="B317" t="str">
            <v>txc</v>
          </cell>
          <cell r="C317">
            <v>15501</v>
          </cell>
          <cell r="D317">
            <v>45.95</v>
          </cell>
        </row>
        <row r="318">
          <cell r="A318" t="str">
            <v>txc-15502</v>
          </cell>
          <cell r="B318" t="str">
            <v>txc</v>
          </cell>
          <cell r="C318">
            <v>15502</v>
          </cell>
          <cell r="D318">
            <v>23.7</v>
          </cell>
        </row>
        <row r="319">
          <cell r="A319" t="str">
            <v>txc-15511</v>
          </cell>
          <cell r="B319" t="str">
            <v>txc</v>
          </cell>
          <cell r="C319">
            <v>15511</v>
          </cell>
          <cell r="D319">
            <v>0.23</v>
          </cell>
        </row>
        <row r="320">
          <cell r="A320" t="str">
            <v>txc-15512</v>
          </cell>
          <cell r="B320" t="str">
            <v>txc</v>
          </cell>
          <cell r="C320">
            <v>15512</v>
          </cell>
          <cell r="D320">
            <v>0.23</v>
          </cell>
        </row>
        <row r="321">
          <cell r="A321" t="str">
            <v>txc-15701</v>
          </cell>
          <cell r="B321" t="str">
            <v>txc</v>
          </cell>
          <cell r="C321">
            <v>15701</v>
          </cell>
          <cell r="D321">
            <v>0.34</v>
          </cell>
        </row>
        <row r="322">
          <cell r="A322" t="str">
            <v>txc-15702</v>
          </cell>
          <cell r="B322" t="str">
            <v>txc</v>
          </cell>
          <cell r="C322">
            <v>15702</v>
          </cell>
          <cell r="D322">
            <v>5.54</v>
          </cell>
        </row>
        <row r="323">
          <cell r="A323" t="str">
            <v>txc-16101</v>
          </cell>
          <cell r="B323" t="str">
            <v>txc</v>
          </cell>
          <cell r="C323">
            <v>16101</v>
          </cell>
          <cell r="D323">
            <v>7.03</v>
          </cell>
        </row>
        <row r="324">
          <cell r="A324" t="str">
            <v>txc-16102</v>
          </cell>
          <cell r="B324" t="str">
            <v>txc</v>
          </cell>
          <cell r="C324">
            <v>16102</v>
          </cell>
          <cell r="D324">
            <v>5.65</v>
          </cell>
        </row>
        <row r="325">
          <cell r="A325" t="str">
            <v>txc-16201</v>
          </cell>
          <cell r="B325" t="str">
            <v>txc</v>
          </cell>
          <cell r="C325">
            <v>16201</v>
          </cell>
          <cell r="D325">
            <v>0.31</v>
          </cell>
        </row>
        <row r="326">
          <cell r="A326" t="str">
            <v>txc-16202</v>
          </cell>
          <cell r="B326" t="str">
            <v>txc</v>
          </cell>
          <cell r="C326">
            <v>16202</v>
          </cell>
          <cell r="D326">
            <v>10.74</v>
          </cell>
        </row>
        <row r="327">
          <cell r="A327" t="str">
            <v>txc-16601</v>
          </cell>
          <cell r="B327" t="str">
            <v>txc</v>
          </cell>
          <cell r="C327">
            <v>16601</v>
          </cell>
          <cell r="D327">
            <v>3.6</v>
          </cell>
        </row>
        <row r="328">
          <cell r="A328" t="str">
            <v>txc-16602</v>
          </cell>
          <cell r="B328" t="str">
            <v>txc</v>
          </cell>
          <cell r="C328">
            <v>16602</v>
          </cell>
          <cell r="D328">
            <v>19.989999999999998</v>
          </cell>
        </row>
        <row r="329">
          <cell r="A329" t="str">
            <v>txc-16801</v>
          </cell>
          <cell r="B329" t="str">
            <v>txc</v>
          </cell>
          <cell r="C329">
            <v>16801</v>
          </cell>
          <cell r="D329">
            <v>0.11</v>
          </cell>
        </row>
        <row r="330">
          <cell r="A330" t="str">
            <v>txc-16802</v>
          </cell>
          <cell r="B330" t="str">
            <v>txc</v>
          </cell>
          <cell r="C330">
            <v>16802</v>
          </cell>
          <cell r="D330">
            <v>1.43</v>
          </cell>
        </row>
        <row r="331">
          <cell r="A331" t="str">
            <v>txc-16901</v>
          </cell>
          <cell r="B331" t="str">
            <v>txc</v>
          </cell>
          <cell r="C331">
            <v>16901</v>
          </cell>
          <cell r="D331">
            <v>0.18</v>
          </cell>
        </row>
        <row r="332">
          <cell r="A332" t="str">
            <v>txc-16902</v>
          </cell>
          <cell r="B332" t="str">
            <v>txc</v>
          </cell>
          <cell r="C332">
            <v>16902</v>
          </cell>
          <cell r="D332">
            <v>0.78</v>
          </cell>
        </row>
        <row r="333">
          <cell r="A333" t="str">
            <v>txc-1701</v>
          </cell>
          <cell r="B333" t="str">
            <v>txc</v>
          </cell>
          <cell r="C333">
            <v>1701</v>
          </cell>
          <cell r="D333">
            <v>1.06</v>
          </cell>
        </row>
        <row r="334">
          <cell r="A334" t="str">
            <v>txc-1702</v>
          </cell>
          <cell r="B334" t="str">
            <v>txc</v>
          </cell>
          <cell r="C334">
            <v>1702</v>
          </cell>
          <cell r="D334">
            <v>0.67</v>
          </cell>
        </row>
        <row r="335">
          <cell r="A335" t="str">
            <v>txc-1711</v>
          </cell>
          <cell r="B335" t="str">
            <v>txc</v>
          </cell>
          <cell r="C335">
            <v>1711</v>
          </cell>
          <cell r="D335">
            <v>0.91</v>
          </cell>
        </row>
        <row r="336">
          <cell r="A336" t="str">
            <v>txc-1712</v>
          </cell>
          <cell r="B336" t="str">
            <v>txc</v>
          </cell>
          <cell r="C336">
            <v>1712</v>
          </cell>
          <cell r="D336">
            <v>5.99</v>
          </cell>
        </row>
        <row r="337">
          <cell r="A337" t="str">
            <v>txc-1801</v>
          </cell>
          <cell r="B337" t="str">
            <v>txc</v>
          </cell>
          <cell r="C337">
            <v>1801</v>
          </cell>
          <cell r="D337">
            <v>0.75</v>
          </cell>
        </row>
        <row r="338">
          <cell r="A338" t="str">
            <v>txc-1802</v>
          </cell>
          <cell r="B338" t="str">
            <v>txc</v>
          </cell>
          <cell r="C338">
            <v>1802</v>
          </cell>
          <cell r="D338">
            <v>3.42</v>
          </cell>
        </row>
        <row r="339">
          <cell r="A339" t="str">
            <v>txc-18511</v>
          </cell>
          <cell r="B339" t="str">
            <v>txc</v>
          </cell>
          <cell r="C339">
            <v>18511</v>
          </cell>
          <cell r="D339">
            <v>1.98</v>
          </cell>
        </row>
        <row r="340">
          <cell r="A340" t="str">
            <v>txc-18512</v>
          </cell>
          <cell r="B340" t="str">
            <v>txc</v>
          </cell>
          <cell r="C340">
            <v>18512</v>
          </cell>
          <cell r="D340">
            <v>2.48</v>
          </cell>
        </row>
        <row r="341">
          <cell r="A341" t="str">
            <v>txc-18501</v>
          </cell>
          <cell r="B341" t="str">
            <v>txc</v>
          </cell>
          <cell r="C341">
            <v>18501</v>
          </cell>
          <cell r="D341">
            <v>0.23</v>
          </cell>
        </row>
        <row r="342">
          <cell r="A342" t="str">
            <v>txc-18502</v>
          </cell>
          <cell r="B342" t="str">
            <v>txc</v>
          </cell>
          <cell r="C342">
            <v>18502</v>
          </cell>
          <cell r="D342">
            <v>0.18</v>
          </cell>
        </row>
        <row r="343">
          <cell r="A343" t="str">
            <v>txc-18801</v>
          </cell>
          <cell r="B343" t="str">
            <v>txc</v>
          </cell>
          <cell r="C343">
            <v>18801</v>
          </cell>
          <cell r="D343">
            <v>1.03</v>
          </cell>
        </row>
        <row r="344">
          <cell r="A344" t="str">
            <v>txc-18802</v>
          </cell>
          <cell r="B344" t="str">
            <v>txc</v>
          </cell>
          <cell r="C344">
            <v>18802</v>
          </cell>
          <cell r="D344">
            <v>8.4</v>
          </cell>
        </row>
        <row r="345">
          <cell r="A345" t="str">
            <v>txc-1901</v>
          </cell>
          <cell r="B345" t="str">
            <v>txc</v>
          </cell>
          <cell r="C345">
            <v>1901</v>
          </cell>
          <cell r="D345">
            <v>0.96</v>
          </cell>
        </row>
        <row r="346">
          <cell r="A346" t="str">
            <v>txc-1902</v>
          </cell>
          <cell r="B346" t="str">
            <v>txc</v>
          </cell>
          <cell r="C346">
            <v>1902</v>
          </cell>
          <cell r="D346">
            <v>5.83</v>
          </cell>
        </row>
        <row r="347">
          <cell r="A347" t="str">
            <v>txc-201</v>
          </cell>
          <cell r="B347" t="str">
            <v>txc</v>
          </cell>
          <cell r="C347">
            <v>201</v>
          </cell>
          <cell r="D347">
            <v>3.03</v>
          </cell>
        </row>
        <row r="348">
          <cell r="A348" t="str">
            <v>txc-202</v>
          </cell>
          <cell r="B348" t="str">
            <v>txc</v>
          </cell>
          <cell r="C348">
            <v>202</v>
          </cell>
          <cell r="D348">
            <v>0.62</v>
          </cell>
        </row>
        <row r="349">
          <cell r="A349" t="str">
            <v>txc-2001</v>
          </cell>
          <cell r="B349" t="str">
            <v>txc</v>
          </cell>
          <cell r="C349">
            <v>2001</v>
          </cell>
          <cell r="D349">
            <v>4.1100000000000003</v>
          </cell>
        </row>
        <row r="350">
          <cell r="A350" t="str">
            <v>txc-2002</v>
          </cell>
          <cell r="B350" t="str">
            <v>txc</v>
          </cell>
          <cell r="C350">
            <v>2002</v>
          </cell>
          <cell r="D350">
            <v>20.9</v>
          </cell>
        </row>
        <row r="351">
          <cell r="A351" t="str">
            <v>txc-20011</v>
          </cell>
          <cell r="B351" t="str">
            <v>txc</v>
          </cell>
          <cell r="C351">
            <v>20011</v>
          </cell>
          <cell r="D351">
            <v>4.6500000000000004</v>
          </cell>
        </row>
        <row r="352">
          <cell r="A352" t="str">
            <v>txc-20012</v>
          </cell>
          <cell r="B352" t="str">
            <v>txc</v>
          </cell>
          <cell r="C352">
            <v>20012</v>
          </cell>
          <cell r="D352">
            <v>11.13</v>
          </cell>
        </row>
        <row r="353">
          <cell r="A353" t="str">
            <v>txc-20001</v>
          </cell>
          <cell r="B353" t="str">
            <v>txc</v>
          </cell>
          <cell r="C353">
            <v>20001</v>
          </cell>
          <cell r="D353">
            <v>0.52</v>
          </cell>
        </row>
        <row r="354">
          <cell r="A354" t="str">
            <v>txc-20002</v>
          </cell>
          <cell r="B354" t="str">
            <v>txc</v>
          </cell>
          <cell r="C354">
            <v>20002</v>
          </cell>
          <cell r="D354">
            <v>18.010000000000002</v>
          </cell>
        </row>
        <row r="355">
          <cell r="A355" t="str">
            <v>txc-22001</v>
          </cell>
          <cell r="B355" t="str">
            <v>txc</v>
          </cell>
          <cell r="C355">
            <v>22001</v>
          </cell>
          <cell r="D355">
            <v>0.59</v>
          </cell>
        </row>
        <row r="356">
          <cell r="A356" t="str">
            <v>txc-22002</v>
          </cell>
          <cell r="B356" t="str">
            <v>txc</v>
          </cell>
          <cell r="C356">
            <v>22002</v>
          </cell>
          <cell r="D356">
            <v>16.25</v>
          </cell>
        </row>
        <row r="357">
          <cell r="A357" t="str">
            <v>txc-22501</v>
          </cell>
          <cell r="B357" t="str">
            <v>txc</v>
          </cell>
          <cell r="C357">
            <v>22501</v>
          </cell>
          <cell r="D357">
            <v>6</v>
          </cell>
        </row>
        <row r="358">
          <cell r="A358" t="str">
            <v>txc-22502</v>
          </cell>
          <cell r="B358" t="str">
            <v>txc</v>
          </cell>
          <cell r="C358">
            <v>22502</v>
          </cell>
          <cell r="D358">
            <v>13.86</v>
          </cell>
        </row>
        <row r="359">
          <cell r="A359" t="str">
            <v>txc-2301</v>
          </cell>
          <cell r="B359" t="str">
            <v>txc</v>
          </cell>
          <cell r="C359">
            <v>2301</v>
          </cell>
          <cell r="D359">
            <v>21.96</v>
          </cell>
        </row>
        <row r="360">
          <cell r="A360" t="str">
            <v>txc-2302</v>
          </cell>
          <cell r="B360" t="str">
            <v>txc</v>
          </cell>
          <cell r="C360">
            <v>2302</v>
          </cell>
          <cell r="D360">
            <v>2.46</v>
          </cell>
        </row>
        <row r="361">
          <cell r="A361" t="str">
            <v>txc-2311</v>
          </cell>
          <cell r="B361" t="str">
            <v>txc</v>
          </cell>
          <cell r="C361">
            <v>2311</v>
          </cell>
          <cell r="D361">
            <v>0.26</v>
          </cell>
        </row>
        <row r="362">
          <cell r="A362" t="str">
            <v>txc-2312</v>
          </cell>
          <cell r="B362" t="str">
            <v>txc</v>
          </cell>
          <cell r="C362">
            <v>2312</v>
          </cell>
          <cell r="D362">
            <v>4</v>
          </cell>
        </row>
        <row r="363">
          <cell r="A363" t="str">
            <v>txc-2411</v>
          </cell>
          <cell r="B363" t="str">
            <v>txc</v>
          </cell>
          <cell r="C363">
            <v>2411</v>
          </cell>
          <cell r="D363">
            <v>0.43</v>
          </cell>
        </row>
        <row r="364">
          <cell r="A364" t="str">
            <v>txc-2412</v>
          </cell>
          <cell r="B364" t="str">
            <v>txc</v>
          </cell>
          <cell r="C364">
            <v>2412</v>
          </cell>
          <cell r="D364">
            <v>0.48</v>
          </cell>
        </row>
        <row r="365">
          <cell r="A365" t="str">
            <v>txc-2431</v>
          </cell>
          <cell r="B365" t="str">
            <v>txc</v>
          </cell>
          <cell r="C365">
            <v>2431</v>
          </cell>
          <cell r="D365">
            <v>4.7300000000000004</v>
          </cell>
        </row>
        <row r="366">
          <cell r="A366" t="str">
            <v>txc-2432</v>
          </cell>
          <cell r="B366" t="str">
            <v>txc</v>
          </cell>
          <cell r="C366">
            <v>2432</v>
          </cell>
          <cell r="D366">
            <v>5.66</v>
          </cell>
        </row>
        <row r="367">
          <cell r="A367" t="str">
            <v>txc-2421</v>
          </cell>
          <cell r="B367" t="str">
            <v>txc</v>
          </cell>
          <cell r="C367">
            <v>2421</v>
          </cell>
          <cell r="D367">
            <v>0.5</v>
          </cell>
        </row>
        <row r="368">
          <cell r="A368" t="str">
            <v>txc-2422</v>
          </cell>
          <cell r="B368" t="str">
            <v>txc</v>
          </cell>
          <cell r="C368">
            <v>2422</v>
          </cell>
          <cell r="D368">
            <v>1.1100000000000001</v>
          </cell>
        </row>
        <row r="369">
          <cell r="A369" t="str">
            <v>txc-2401</v>
          </cell>
          <cell r="B369" t="str">
            <v>txc</v>
          </cell>
          <cell r="C369">
            <v>2401</v>
          </cell>
          <cell r="D369">
            <v>4.0999999999999996</v>
          </cell>
        </row>
        <row r="370">
          <cell r="A370" t="str">
            <v>txc-2402</v>
          </cell>
          <cell r="B370" t="str">
            <v>txc</v>
          </cell>
          <cell r="C370">
            <v>2402</v>
          </cell>
          <cell r="D370">
            <v>12.61</v>
          </cell>
        </row>
        <row r="371">
          <cell r="A371" t="str">
            <v>txc-25011</v>
          </cell>
          <cell r="B371" t="str">
            <v>txc</v>
          </cell>
          <cell r="C371">
            <v>25011</v>
          </cell>
          <cell r="D371">
            <v>17.5</v>
          </cell>
        </row>
        <row r="372">
          <cell r="A372" t="str">
            <v>txc-25012</v>
          </cell>
          <cell r="B372" t="str">
            <v>txc</v>
          </cell>
          <cell r="C372">
            <v>25012</v>
          </cell>
          <cell r="D372">
            <v>7.2</v>
          </cell>
        </row>
        <row r="373">
          <cell r="A373" t="str">
            <v>txc-25001</v>
          </cell>
          <cell r="B373" t="str">
            <v>txc</v>
          </cell>
          <cell r="C373">
            <v>25001</v>
          </cell>
          <cell r="D373">
            <v>0.33</v>
          </cell>
        </row>
        <row r="374">
          <cell r="A374" t="str">
            <v>txc-25002</v>
          </cell>
          <cell r="B374" t="str">
            <v>txc</v>
          </cell>
          <cell r="C374">
            <v>25002</v>
          </cell>
          <cell r="D374">
            <v>7.47</v>
          </cell>
        </row>
        <row r="375">
          <cell r="A375" t="str">
            <v>txc-2611</v>
          </cell>
          <cell r="B375" t="str">
            <v>txc</v>
          </cell>
          <cell r="C375">
            <v>2611</v>
          </cell>
          <cell r="D375">
            <v>44.95</v>
          </cell>
        </row>
        <row r="376">
          <cell r="A376" t="str">
            <v>txc-2612</v>
          </cell>
          <cell r="B376" t="str">
            <v>txc</v>
          </cell>
          <cell r="C376">
            <v>2612</v>
          </cell>
          <cell r="D376">
            <v>6.72</v>
          </cell>
        </row>
        <row r="377">
          <cell r="A377" t="str">
            <v>txc-2701</v>
          </cell>
          <cell r="B377" t="str">
            <v>txc</v>
          </cell>
          <cell r="C377">
            <v>2701</v>
          </cell>
          <cell r="D377">
            <v>5.2</v>
          </cell>
        </row>
        <row r="378">
          <cell r="A378" t="str">
            <v>txc-2702</v>
          </cell>
          <cell r="B378" t="str">
            <v>txc</v>
          </cell>
          <cell r="C378">
            <v>2702</v>
          </cell>
          <cell r="D378">
            <v>5.95</v>
          </cell>
        </row>
        <row r="379">
          <cell r="A379" t="str">
            <v>txc-2711</v>
          </cell>
          <cell r="B379" t="str">
            <v>txc</v>
          </cell>
          <cell r="C379">
            <v>2711</v>
          </cell>
          <cell r="D379">
            <v>1.39</v>
          </cell>
        </row>
        <row r="380">
          <cell r="A380" t="str">
            <v>txc-2712</v>
          </cell>
          <cell r="B380" t="str">
            <v>txc</v>
          </cell>
          <cell r="C380">
            <v>2712</v>
          </cell>
          <cell r="D380">
            <v>2.0299999999999998</v>
          </cell>
        </row>
        <row r="381">
          <cell r="A381" t="str">
            <v>txc-2901</v>
          </cell>
          <cell r="B381" t="str">
            <v>txc</v>
          </cell>
          <cell r="C381">
            <v>2901</v>
          </cell>
          <cell r="D381">
            <v>2.5099999999999998</v>
          </cell>
        </row>
        <row r="382">
          <cell r="A382" t="str">
            <v>txc-2902</v>
          </cell>
          <cell r="B382" t="str">
            <v>txc</v>
          </cell>
          <cell r="C382">
            <v>2902</v>
          </cell>
          <cell r="D382">
            <v>3.2</v>
          </cell>
        </row>
        <row r="383">
          <cell r="A383" t="str">
            <v>txc-2911</v>
          </cell>
          <cell r="B383" t="str">
            <v>txc</v>
          </cell>
          <cell r="C383">
            <v>2911</v>
          </cell>
          <cell r="D383">
            <v>1.75</v>
          </cell>
        </row>
        <row r="384">
          <cell r="A384" t="str">
            <v>txc-2912</v>
          </cell>
          <cell r="B384" t="str">
            <v>txc</v>
          </cell>
          <cell r="C384">
            <v>2912</v>
          </cell>
          <cell r="D384">
            <v>2.73</v>
          </cell>
        </row>
        <row r="385">
          <cell r="A385" t="str">
            <v>txc-301</v>
          </cell>
          <cell r="B385" t="str">
            <v>txc</v>
          </cell>
          <cell r="C385">
            <v>301</v>
          </cell>
          <cell r="D385">
            <v>10.24</v>
          </cell>
        </row>
        <row r="386">
          <cell r="A386" t="str">
            <v>txc-302</v>
          </cell>
          <cell r="B386" t="str">
            <v>txc</v>
          </cell>
          <cell r="C386">
            <v>302</v>
          </cell>
          <cell r="D386">
            <v>10.27</v>
          </cell>
        </row>
        <row r="387">
          <cell r="A387" t="str">
            <v>txc-311</v>
          </cell>
          <cell r="B387" t="str">
            <v>txc</v>
          </cell>
          <cell r="C387">
            <v>311</v>
          </cell>
          <cell r="D387">
            <v>8.0500000000000007</v>
          </cell>
        </row>
        <row r="388">
          <cell r="A388" t="str">
            <v>txc-3131</v>
          </cell>
          <cell r="B388" t="str">
            <v>txc</v>
          </cell>
          <cell r="C388">
            <v>3131</v>
          </cell>
          <cell r="D388">
            <v>24.38</v>
          </cell>
        </row>
        <row r="389">
          <cell r="A389" t="str">
            <v>txc-3132</v>
          </cell>
          <cell r="B389" t="str">
            <v>txc</v>
          </cell>
          <cell r="C389">
            <v>3132</v>
          </cell>
          <cell r="D389">
            <v>18.62</v>
          </cell>
        </row>
        <row r="390">
          <cell r="A390" t="str">
            <v>txc-3101</v>
          </cell>
          <cell r="B390" t="str">
            <v>txc</v>
          </cell>
          <cell r="C390">
            <v>3101</v>
          </cell>
          <cell r="D390">
            <v>0.47</v>
          </cell>
        </row>
        <row r="391">
          <cell r="A391" t="str">
            <v>txc-3102</v>
          </cell>
          <cell r="B391" t="str">
            <v>txc</v>
          </cell>
          <cell r="C391">
            <v>3102</v>
          </cell>
          <cell r="D391">
            <v>0.44</v>
          </cell>
        </row>
        <row r="392">
          <cell r="A392" t="str">
            <v>txc-3111</v>
          </cell>
          <cell r="B392" t="str">
            <v>txc</v>
          </cell>
          <cell r="C392">
            <v>3111</v>
          </cell>
          <cell r="D392">
            <v>0.48</v>
          </cell>
        </row>
        <row r="393">
          <cell r="A393" t="str">
            <v>txc-3112</v>
          </cell>
          <cell r="B393" t="str">
            <v>txc</v>
          </cell>
          <cell r="C393">
            <v>3112</v>
          </cell>
          <cell r="D393">
            <v>0.44</v>
          </cell>
        </row>
        <row r="394">
          <cell r="A394" t="str">
            <v>txc-3211</v>
          </cell>
          <cell r="B394" t="str">
            <v>txc</v>
          </cell>
          <cell r="C394">
            <v>3211</v>
          </cell>
          <cell r="D394">
            <v>6.24</v>
          </cell>
        </row>
        <row r="395">
          <cell r="A395" t="str">
            <v>txc-3212</v>
          </cell>
          <cell r="B395" t="str">
            <v>txc</v>
          </cell>
          <cell r="C395">
            <v>3212</v>
          </cell>
          <cell r="D395">
            <v>0.55000000000000004</v>
          </cell>
        </row>
        <row r="396">
          <cell r="A396" t="str">
            <v>txc-3201</v>
          </cell>
          <cell r="B396" t="str">
            <v>txc</v>
          </cell>
          <cell r="C396">
            <v>3201</v>
          </cell>
          <cell r="D396">
            <v>5.48</v>
          </cell>
        </row>
        <row r="397">
          <cell r="A397" t="str">
            <v>txc-3202</v>
          </cell>
          <cell r="B397" t="str">
            <v>txc</v>
          </cell>
          <cell r="C397">
            <v>3202</v>
          </cell>
          <cell r="D397">
            <v>0.37</v>
          </cell>
        </row>
        <row r="398">
          <cell r="A398" t="str">
            <v>txc-3301</v>
          </cell>
          <cell r="B398" t="str">
            <v>txc</v>
          </cell>
          <cell r="C398">
            <v>3301</v>
          </cell>
          <cell r="D398">
            <v>13.18</v>
          </cell>
        </row>
        <row r="399">
          <cell r="A399" t="str">
            <v>txc-3302</v>
          </cell>
          <cell r="B399" t="str">
            <v>txc</v>
          </cell>
          <cell r="C399">
            <v>3302</v>
          </cell>
          <cell r="D399">
            <v>18.91</v>
          </cell>
        </row>
        <row r="400">
          <cell r="A400" t="str">
            <v>txc-3311</v>
          </cell>
          <cell r="B400" t="str">
            <v>txc</v>
          </cell>
          <cell r="C400">
            <v>3311</v>
          </cell>
          <cell r="D400">
            <v>8.64</v>
          </cell>
        </row>
        <row r="401">
          <cell r="A401" t="str">
            <v>txc-3312</v>
          </cell>
          <cell r="B401" t="str">
            <v>txc</v>
          </cell>
          <cell r="C401">
            <v>3312</v>
          </cell>
          <cell r="D401">
            <v>1.53</v>
          </cell>
        </row>
        <row r="402">
          <cell r="A402" t="str">
            <v>txc-33301</v>
          </cell>
          <cell r="B402" t="str">
            <v>txc</v>
          </cell>
          <cell r="C402">
            <v>33301</v>
          </cell>
          <cell r="D402">
            <v>0.28999999999999998</v>
          </cell>
        </row>
        <row r="403">
          <cell r="A403" t="str">
            <v>txc-33302</v>
          </cell>
          <cell r="B403" t="str">
            <v>txc</v>
          </cell>
          <cell r="C403">
            <v>33302</v>
          </cell>
          <cell r="D403">
            <v>3.07</v>
          </cell>
        </row>
        <row r="404">
          <cell r="A404" t="str">
            <v>txc-3401</v>
          </cell>
          <cell r="B404" t="str">
            <v>txc</v>
          </cell>
          <cell r="C404">
            <v>3401</v>
          </cell>
          <cell r="D404">
            <v>0.4</v>
          </cell>
        </row>
        <row r="405">
          <cell r="A405" t="str">
            <v>txc-3402</v>
          </cell>
          <cell r="B405" t="str">
            <v>txc</v>
          </cell>
          <cell r="C405">
            <v>3402</v>
          </cell>
          <cell r="D405">
            <v>1.34</v>
          </cell>
        </row>
        <row r="406">
          <cell r="A406" t="str">
            <v>txc-3501</v>
          </cell>
          <cell r="B406" t="str">
            <v>txc</v>
          </cell>
          <cell r="C406">
            <v>3501</v>
          </cell>
          <cell r="D406">
            <v>0.38</v>
          </cell>
        </row>
        <row r="407">
          <cell r="A407" t="str">
            <v>txc-3502</v>
          </cell>
          <cell r="B407" t="str">
            <v>txc</v>
          </cell>
          <cell r="C407">
            <v>3502</v>
          </cell>
          <cell r="D407">
            <v>2.96</v>
          </cell>
        </row>
        <row r="408">
          <cell r="A408" t="str">
            <v>txc-3511</v>
          </cell>
          <cell r="B408" t="str">
            <v>txc</v>
          </cell>
          <cell r="C408">
            <v>3511</v>
          </cell>
          <cell r="D408">
            <v>0.42</v>
          </cell>
        </row>
        <row r="409">
          <cell r="A409" t="str">
            <v>txc-3512</v>
          </cell>
          <cell r="B409" t="str">
            <v>txc</v>
          </cell>
          <cell r="C409">
            <v>3512</v>
          </cell>
          <cell r="D409">
            <v>2.31</v>
          </cell>
        </row>
        <row r="410">
          <cell r="A410" t="str">
            <v>txc-3601</v>
          </cell>
          <cell r="B410" t="str">
            <v>txc</v>
          </cell>
          <cell r="C410">
            <v>3601</v>
          </cell>
          <cell r="D410">
            <v>12.28</v>
          </cell>
        </row>
        <row r="411">
          <cell r="A411" t="str">
            <v>txc-3602</v>
          </cell>
          <cell r="B411" t="str">
            <v>txc</v>
          </cell>
          <cell r="C411">
            <v>3602</v>
          </cell>
          <cell r="D411">
            <v>0.36</v>
          </cell>
        </row>
        <row r="412">
          <cell r="A412" t="str">
            <v>txc-3801</v>
          </cell>
          <cell r="B412" t="str">
            <v>txc</v>
          </cell>
          <cell r="C412">
            <v>3801</v>
          </cell>
          <cell r="D412">
            <v>1.62</v>
          </cell>
        </row>
        <row r="413">
          <cell r="A413" t="str">
            <v>txc-3802</v>
          </cell>
          <cell r="B413" t="str">
            <v>txc</v>
          </cell>
          <cell r="C413">
            <v>3802</v>
          </cell>
          <cell r="D413">
            <v>1.76</v>
          </cell>
        </row>
        <row r="414">
          <cell r="A414" t="str">
            <v>txc-3901</v>
          </cell>
          <cell r="B414" t="str">
            <v>txc</v>
          </cell>
          <cell r="C414">
            <v>3901</v>
          </cell>
          <cell r="D414">
            <v>24.56</v>
          </cell>
        </row>
        <row r="415">
          <cell r="A415" t="str">
            <v>txc-3902</v>
          </cell>
          <cell r="B415" t="str">
            <v>txc</v>
          </cell>
          <cell r="C415">
            <v>3902</v>
          </cell>
          <cell r="D415">
            <v>34.24</v>
          </cell>
        </row>
        <row r="416">
          <cell r="A416" t="str">
            <v>txc-3911</v>
          </cell>
          <cell r="B416" t="str">
            <v>txc</v>
          </cell>
          <cell r="C416">
            <v>3911</v>
          </cell>
          <cell r="D416">
            <v>0.4</v>
          </cell>
        </row>
        <row r="417">
          <cell r="A417" t="str">
            <v>txc-3912</v>
          </cell>
          <cell r="B417" t="str">
            <v>txc</v>
          </cell>
          <cell r="C417">
            <v>3912</v>
          </cell>
          <cell r="D417">
            <v>4.1500000000000004</v>
          </cell>
        </row>
        <row r="418">
          <cell r="A418" t="str">
            <v>txc-3921</v>
          </cell>
          <cell r="B418" t="str">
            <v>txc</v>
          </cell>
          <cell r="C418">
            <v>3921</v>
          </cell>
          <cell r="D418">
            <v>0.9</v>
          </cell>
        </row>
        <row r="419">
          <cell r="A419" t="str">
            <v>txc-3922</v>
          </cell>
          <cell r="B419" t="str">
            <v>txc</v>
          </cell>
          <cell r="C419">
            <v>3922</v>
          </cell>
          <cell r="D419">
            <v>1.34</v>
          </cell>
        </row>
        <row r="420">
          <cell r="A420" t="str">
            <v>txc-3931</v>
          </cell>
          <cell r="B420" t="str">
            <v>txc</v>
          </cell>
          <cell r="C420">
            <v>3931</v>
          </cell>
          <cell r="D420">
            <v>3.54</v>
          </cell>
        </row>
        <row r="421">
          <cell r="A421" t="str">
            <v>txc-3932</v>
          </cell>
          <cell r="B421" t="str">
            <v>txc</v>
          </cell>
          <cell r="C421">
            <v>3932</v>
          </cell>
          <cell r="D421">
            <v>1.82</v>
          </cell>
        </row>
        <row r="422">
          <cell r="A422" t="str">
            <v>txc-321</v>
          </cell>
          <cell r="B422" t="str">
            <v>txc</v>
          </cell>
          <cell r="C422">
            <v>321</v>
          </cell>
          <cell r="D422">
            <v>0.31</v>
          </cell>
        </row>
        <row r="423">
          <cell r="A423" t="str">
            <v>txc-322</v>
          </cell>
          <cell r="B423" t="str">
            <v>txc</v>
          </cell>
          <cell r="C423">
            <v>322</v>
          </cell>
          <cell r="D423">
            <v>3.2</v>
          </cell>
        </row>
        <row r="424">
          <cell r="A424" t="str">
            <v>txc-401</v>
          </cell>
          <cell r="B424" t="str">
            <v>txc</v>
          </cell>
          <cell r="C424">
            <v>401</v>
          </cell>
          <cell r="D424">
            <v>12.39</v>
          </cell>
        </row>
        <row r="425">
          <cell r="A425" t="str">
            <v>txc-402</v>
          </cell>
          <cell r="B425" t="str">
            <v>txc</v>
          </cell>
          <cell r="C425">
            <v>402</v>
          </cell>
          <cell r="D425">
            <v>11.5</v>
          </cell>
        </row>
        <row r="426">
          <cell r="A426" t="str">
            <v>txc-4001</v>
          </cell>
          <cell r="B426" t="str">
            <v>txc</v>
          </cell>
          <cell r="C426">
            <v>4001</v>
          </cell>
          <cell r="D426">
            <v>0.37</v>
          </cell>
        </row>
        <row r="427">
          <cell r="A427" t="str">
            <v>txc-4002</v>
          </cell>
          <cell r="B427" t="str">
            <v>txc</v>
          </cell>
          <cell r="C427">
            <v>4002</v>
          </cell>
          <cell r="D427">
            <v>1.29</v>
          </cell>
        </row>
        <row r="428">
          <cell r="A428" t="str">
            <v>txc-4011</v>
          </cell>
          <cell r="B428" t="str">
            <v>txc</v>
          </cell>
          <cell r="C428">
            <v>4011</v>
          </cell>
          <cell r="D428">
            <v>4.97</v>
          </cell>
        </row>
        <row r="429">
          <cell r="A429" t="str">
            <v>txc-4012</v>
          </cell>
          <cell r="B429" t="str">
            <v>txc</v>
          </cell>
          <cell r="C429">
            <v>4012</v>
          </cell>
          <cell r="D429">
            <v>3.4</v>
          </cell>
        </row>
        <row r="430">
          <cell r="A430" t="str">
            <v>txc-4101</v>
          </cell>
          <cell r="B430" t="str">
            <v>txc</v>
          </cell>
          <cell r="C430">
            <v>4101</v>
          </cell>
          <cell r="D430">
            <v>4.72</v>
          </cell>
        </row>
        <row r="431">
          <cell r="A431" t="str">
            <v>txc-4102</v>
          </cell>
          <cell r="B431" t="str">
            <v>txc</v>
          </cell>
          <cell r="C431">
            <v>4102</v>
          </cell>
          <cell r="D431">
            <v>1.08</v>
          </cell>
        </row>
        <row r="432">
          <cell r="A432" t="str">
            <v>txc-4201</v>
          </cell>
          <cell r="B432" t="str">
            <v>txc</v>
          </cell>
          <cell r="C432">
            <v>4201</v>
          </cell>
          <cell r="D432">
            <v>3.72</v>
          </cell>
        </row>
        <row r="433">
          <cell r="A433" t="str">
            <v>txc-4202</v>
          </cell>
          <cell r="B433" t="str">
            <v>txc</v>
          </cell>
          <cell r="C433">
            <v>4202</v>
          </cell>
          <cell r="D433">
            <v>20.149999999999999</v>
          </cell>
        </row>
        <row r="434">
          <cell r="A434" t="str">
            <v>txc-4301</v>
          </cell>
          <cell r="B434" t="str">
            <v>txc</v>
          </cell>
          <cell r="C434">
            <v>4301</v>
          </cell>
          <cell r="D434">
            <v>13.26</v>
          </cell>
        </row>
        <row r="435">
          <cell r="A435" t="str">
            <v>txc-4302</v>
          </cell>
          <cell r="B435" t="str">
            <v>txc</v>
          </cell>
          <cell r="C435">
            <v>4302</v>
          </cell>
          <cell r="D435">
            <v>4.1100000000000003</v>
          </cell>
        </row>
        <row r="436">
          <cell r="A436" t="str">
            <v>txc-4411</v>
          </cell>
          <cell r="B436" t="str">
            <v>txc</v>
          </cell>
          <cell r="C436">
            <v>4411</v>
          </cell>
          <cell r="D436">
            <v>1.89</v>
          </cell>
        </row>
        <row r="437">
          <cell r="A437" t="str">
            <v>txc-4412</v>
          </cell>
          <cell r="B437" t="str">
            <v>txc</v>
          </cell>
          <cell r="C437">
            <v>4412</v>
          </cell>
          <cell r="D437">
            <v>3.84</v>
          </cell>
        </row>
        <row r="438">
          <cell r="A438" t="str">
            <v>txc-4401</v>
          </cell>
          <cell r="B438" t="str">
            <v>txc</v>
          </cell>
          <cell r="C438">
            <v>4401</v>
          </cell>
          <cell r="D438">
            <v>13.53</v>
          </cell>
        </row>
        <row r="439">
          <cell r="A439" t="str">
            <v>txc-4402</v>
          </cell>
          <cell r="B439" t="str">
            <v>txc</v>
          </cell>
          <cell r="C439">
            <v>4402</v>
          </cell>
          <cell r="D439">
            <v>17.34</v>
          </cell>
        </row>
        <row r="440">
          <cell r="A440" t="str">
            <v>txc-4501</v>
          </cell>
          <cell r="B440" t="str">
            <v>txc</v>
          </cell>
          <cell r="C440">
            <v>4501</v>
          </cell>
          <cell r="D440">
            <v>0.23</v>
          </cell>
        </row>
        <row r="441">
          <cell r="A441" t="str">
            <v>txc-4502</v>
          </cell>
          <cell r="B441" t="str">
            <v>txc</v>
          </cell>
          <cell r="C441">
            <v>4502</v>
          </cell>
          <cell r="D441">
            <v>0.24</v>
          </cell>
        </row>
        <row r="442">
          <cell r="A442" t="str">
            <v>txc-4511</v>
          </cell>
          <cell r="B442" t="str">
            <v>txc</v>
          </cell>
          <cell r="C442">
            <v>4511</v>
          </cell>
          <cell r="D442">
            <v>1.19</v>
          </cell>
        </row>
        <row r="443">
          <cell r="A443" t="str">
            <v>txc-4512</v>
          </cell>
          <cell r="B443" t="str">
            <v>txc</v>
          </cell>
          <cell r="C443">
            <v>4512</v>
          </cell>
          <cell r="D443">
            <v>1.1399999999999999</v>
          </cell>
        </row>
        <row r="444">
          <cell r="A444" t="str">
            <v>txc-4601</v>
          </cell>
          <cell r="B444" t="str">
            <v>txc</v>
          </cell>
          <cell r="C444">
            <v>4601</v>
          </cell>
          <cell r="D444">
            <v>5.97</v>
          </cell>
        </row>
        <row r="445">
          <cell r="A445" t="str">
            <v>txc-4602</v>
          </cell>
          <cell r="B445" t="str">
            <v>txc</v>
          </cell>
          <cell r="C445">
            <v>4602</v>
          </cell>
          <cell r="D445">
            <v>0.93</v>
          </cell>
        </row>
        <row r="446">
          <cell r="A446" t="str">
            <v>txc-4711</v>
          </cell>
          <cell r="B446" t="str">
            <v>txc</v>
          </cell>
          <cell r="C446">
            <v>4711</v>
          </cell>
          <cell r="D446">
            <v>5.1100000000000003</v>
          </cell>
        </row>
        <row r="447">
          <cell r="A447" t="str">
            <v>txc-4712</v>
          </cell>
          <cell r="B447" t="str">
            <v>txc</v>
          </cell>
          <cell r="C447">
            <v>4712</v>
          </cell>
          <cell r="D447">
            <v>1.04</v>
          </cell>
        </row>
        <row r="448">
          <cell r="A448" t="str">
            <v>txc-4701</v>
          </cell>
          <cell r="B448" t="str">
            <v>txc</v>
          </cell>
          <cell r="C448">
            <v>4701</v>
          </cell>
          <cell r="D448">
            <v>1.34</v>
          </cell>
        </row>
        <row r="449">
          <cell r="A449" t="str">
            <v>txc-4702</v>
          </cell>
          <cell r="B449" t="str">
            <v>txc</v>
          </cell>
          <cell r="C449">
            <v>4702</v>
          </cell>
          <cell r="D449">
            <v>0.24</v>
          </cell>
        </row>
        <row r="450">
          <cell r="A450" t="str">
            <v>txc-4801</v>
          </cell>
          <cell r="B450" t="str">
            <v>txc</v>
          </cell>
          <cell r="C450">
            <v>4801</v>
          </cell>
          <cell r="D450">
            <v>3.1</v>
          </cell>
        </row>
        <row r="451">
          <cell r="A451" t="str">
            <v>txc-4802</v>
          </cell>
          <cell r="B451" t="str">
            <v>txc</v>
          </cell>
          <cell r="C451">
            <v>4802</v>
          </cell>
          <cell r="D451">
            <v>2.82</v>
          </cell>
        </row>
        <row r="452">
          <cell r="A452" t="str">
            <v>txc-4811</v>
          </cell>
          <cell r="B452" t="str">
            <v>txc</v>
          </cell>
          <cell r="C452">
            <v>4811</v>
          </cell>
          <cell r="D452">
            <v>0.25</v>
          </cell>
        </row>
        <row r="453">
          <cell r="A453" t="str">
            <v>txc-4812</v>
          </cell>
          <cell r="B453" t="str">
            <v>txc</v>
          </cell>
          <cell r="C453">
            <v>4812</v>
          </cell>
          <cell r="D453">
            <v>17.420000000000002</v>
          </cell>
        </row>
        <row r="454">
          <cell r="A454" t="str">
            <v>txc-4921</v>
          </cell>
          <cell r="B454" t="str">
            <v>txc</v>
          </cell>
          <cell r="C454">
            <v>4921</v>
          </cell>
          <cell r="D454">
            <v>6.93</v>
          </cell>
        </row>
        <row r="455">
          <cell r="A455" t="str">
            <v>txc-4922</v>
          </cell>
          <cell r="B455" t="str">
            <v>txc</v>
          </cell>
          <cell r="C455">
            <v>4922</v>
          </cell>
          <cell r="D455">
            <v>44.63</v>
          </cell>
        </row>
        <row r="456">
          <cell r="A456" t="str">
            <v>txc-4911</v>
          </cell>
          <cell r="B456" t="str">
            <v>txc</v>
          </cell>
          <cell r="C456">
            <v>4911</v>
          </cell>
          <cell r="D456">
            <v>11.24</v>
          </cell>
        </row>
        <row r="457">
          <cell r="A457" t="str">
            <v>txc-4912</v>
          </cell>
          <cell r="B457" t="str">
            <v>txc</v>
          </cell>
          <cell r="C457">
            <v>4912</v>
          </cell>
          <cell r="D457">
            <v>0.39</v>
          </cell>
        </row>
        <row r="458">
          <cell r="A458" t="str">
            <v>txc-4901</v>
          </cell>
          <cell r="B458" t="str">
            <v>txc</v>
          </cell>
          <cell r="C458">
            <v>4901</v>
          </cell>
          <cell r="D458">
            <v>5.39</v>
          </cell>
        </row>
        <row r="459">
          <cell r="A459" t="str">
            <v>txc-4902</v>
          </cell>
          <cell r="B459" t="str">
            <v>txc</v>
          </cell>
          <cell r="C459">
            <v>4902</v>
          </cell>
          <cell r="D459">
            <v>1.1200000000000001</v>
          </cell>
        </row>
        <row r="460">
          <cell r="A460" t="str">
            <v>txc-501</v>
          </cell>
          <cell r="B460" t="str">
            <v>txc</v>
          </cell>
          <cell r="C460">
            <v>501</v>
          </cell>
          <cell r="D460">
            <v>2.92</v>
          </cell>
        </row>
        <row r="461">
          <cell r="A461" t="str">
            <v>txc-502</v>
          </cell>
          <cell r="B461" t="str">
            <v>txc</v>
          </cell>
          <cell r="C461">
            <v>502</v>
          </cell>
          <cell r="D461">
            <v>6.08</v>
          </cell>
        </row>
        <row r="462">
          <cell r="A462" t="str">
            <v>txc-5301</v>
          </cell>
          <cell r="B462" t="str">
            <v>txc</v>
          </cell>
          <cell r="C462">
            <v>5301</v>
          </cell>
          <cell r="D462">
            <v>1.0900000000000001</v>
          </cell>
        </row>
        <row r="463">
          <cell r="A463" t="str">
            <v>txc-5302</v>
          </cell>
          <cell r="B463" t="str">
            <v>txc</v>
          </cell>
          <cell r="C463">
            <v>5302</v>
          </cell>
          <cell r="D463">
            <v>8.26</v>
          </cell>
        </row>
        <row r="464">
          <cell r="A464" t="str">
            <v>txc-5421</v>
          </cell>
          <cell r="B464" t="str">
            <v>txc</v>
          </cell>
          <cell r="C464">
            <v>5421</v>
          </cell>
          <cell r="D464">
            <v>3.06</v>
          </cell>
        </row>
        <row r="465">
          <cell r="A465" t="str">
            <v>txc-5422</v>
          </cell>
          <cell r="B465" t="str">
            <v>txc</v>
          </cell>
          <cell r="C465">
            <v>5422</v>
          </cell>
          <cell r="D465">
            <v>2.4300000000000002</v>
          </cell>
        </row>
        <row r="466">
          <cell r="A466" t="str">
            <v>txc-5411</v>
          </cell>
          <cell r="B466" t="str">
            <v>txc</v>
          </cell>
          <cell r="C466">
            <v>5411</v>
          </cell>
          <cell r="D466">
            <v>4.43</v>
          </cell>
        </row>
        <row r="467">
          <cell r="A467" t="str">
            <v>txc-5412</v>
          </cell>
          <cell r="B467" t="str">
            <v>txc</v>
          </cell>
          <cell r="C467">
            <v>5412</v>
          </cell>
          <cell r="D467">
            <v>8.74</v>
          </cell>
        </row>
        <row r="468">
          <cell r="A468" t="str">
            <v>txc-5401</v>
          </cell>
          <cell r="B468" t="str">
            <v>txc</v>
          </cell>
          <cell r="C468">
            <v>5401</v>
          </cell>
          <cell r="D468">
            <v>0.91</v>
          </cell>
        </row>
        <row r="469">
          <cell r="A469" t="str">
            <v>txc-5402</v>
          </cell>
          <cell r="B469" t="str">
            <v>txc</v>
          </cell>
          <cell r="C469">
            <v>5402</v>
          </cell>
          <cell r="D469">
            <v>1.0900000000000001</v>
          </cell>
        </row>
        <row r="470">
          <cell r="A470" t="str">
            <v>txc-5501</v>
          </cell>
          <cell r="B470" t="str">
            <v>txc</v>
          </cell>
          <cell r="C470">
            <v>5501</v>
          </cell>
          <cell r="D470">
            <v>8.0299999999999994</v>
          </cell>
        </row>
        <row r="471">
          <cell r="A471" t="str">
            <v>txc-5502</v>
          </cell>
          <cell r="B471" t="str">
            <v>txc</v>
          </cell>
          <cell r="C471">
            <v>5502</v>
          </cell>
          <cell r="D471">
            <v>0.41</v>
          </cell>
        </row>
        <row r="472">
          <cell r="A472" t="str">
            <v>txc-5511</v>
          </cell>
          <cell r="B472" t="str">
            <v>txc</v>
          </cell>
          <cell r="C472">
            <v>5511</v>
          </cell>
          <cell r="D472">
            <v>5.43</v>
          </cell>
        </row>
        <row r="473">
          <cell r="A473" t="str">
            <v>txc-5512</v>
          </cell>
          <cell r="B473" t="str">
            <v>txc</v>
          </cell>
          <cell r="C473">
            <v>5512</v>
          </cell>
          <cell r="D473">
            <v>1.48</v>
          </cell>
        </row>
        <row r="474">
          <cell r="A474" t="str">
            <v>txc-5601</v>
          </cell>
          <cell r="B474" t="str">
            <v>txc</v>
          </cell>
          <cell r="C474">
            <v>5601</v>
          </cell>
          <cell r="D474">
            <v>3.58</v>
          </cell>
        </row>
        <row r="475">
          <cell r="A475" t="str">
            <v>txc-5602</v>
          </cell>
          <cell r="B475" t="str">
            <v>txc</v>
          </cell>
          <cell r="C475">
            <v>5602</v>
          </cell>
          <cell r="D475">
            <v>21.56</v>
          </cell>
        </row>
        <row r="476">
          <cell r="A476" t="str">
            <v>txc-5801</v>
          </cell>
          <cell r="B476" t="str">
            <v>txc</v>
          </cell>
          <cell r="C476">
            <v>5801</v>
          </cell>
          <cell r="D476">
            <v>0.86</v>
          </cell>
        </row>
        <row r="477">
          <cell r="A477" t="str">
            <v>txc-5802</v>
          </cell>
          <cell r="B477" t="str">
            <v>txc</v>
          </cell>
          <cell r="C477">
            <v>5802</v>
          </cell>
          <cell r="D477">
            <v>0.41</v>
          </cell>
        </row>
        <row r="478">
          <cell r="A478" t="str">
            <v>txc-601</v>
          </cell>
          <cell r="B478" t="str">
            <v>txc</v>
          </cell>
          <cell r="C478">
            <v>601</v>
          </cell>
          <cell r="D478">
            <v>0.91</v>
          </cell>
        </row>
        <row r="479">
          <cell r="A479" t="str">
            <v>txc-602</v>
          </cell>
          <cell r="B479" t="str">
            <v>txc</v>
          </cell>
          <cell r="C479">
            <v>602</v>
          </cell>
          <cell r="D479">
            <v>0.48</v>
          </cell>
        </row>
        <row r="480">
          <cell r="A480" t="str">
            <v>txc-6101</v>
          </cell>
          <cell r="B480" t="str">
            <v>txc</v>
          </cell>
          <cell r="C480">
            <v>6101</v>
          </cell>
          <cell r="D480">
            <v>4.43</v>
          </cell>
        </row>
        <row r="481">
          <cell r="A481" t="str">
            <v>txc-6102</v>
          </cell>
          <cell r="B481" t="str">
            <v>txc</v>
          </cell>
          <cell r="C481">
            <v>6102</v>
          </cell>
          <cell r="D481">
            <v>13.07</v>
          </cell>
        </row>
        <row r="482">
          <cell r="A482" t="str">
            <v>txc-6201</v>
          </cell>
          <cell r="B482" t="str">
            <v>txc</v>
          </cell>
          <cell r="C482">
            <v>6201</v>
          </cell>
          <cell r="D482">
            <v>5.84</v>
          </cell>
        </row>
        <row r="483">
          <cell r="A483" t="str">
            <v>txc-6202</v>
          </cell>
          <cell r="B483" t="str">
            <v>txc</v>
          </cell>
          <cell r="C483">
            <v>6202</v>
          </cell>
          <cell r="D483">
            <v>12.83</v>
          </cell>
        </row>
        <row r="484">
          <cell r="A484" t="str">
            <v>txc-6211</v>
          </cell>
          <cell r="B484" t="str">
            <v>txc</v>
          </cell>
          <cell r="C484">
            <v>6211</v>
          </cell>
          <cell r="D484">
            <v>1.29</v>
          </cell>
        </row>
        <row r="485">
          <cell r="A485" t="str">
            <v>txc-6212</v>
          </cell>
          <cell r="B485" t="str">
            <v>txc</v>
          </cell>
          <cell r="C485">
            <v>6212</v>
          </cell>
          <cell r="D485">
            <v>4.42</v>
          </cell>
        </row>
        <row r="486">
          <cell r="A486" t="str">
            <v>txc-6501</v>
          </cell>
          <cell r="B486" t="str">
            <v>txc</v>
          </cell>
          <cell r="C486">
            <v>6501</v>
          </cell>
          <cell r="D486">
            <v>0.33</v>
          </cell>
        </row>
        <row r="487">
          <cell r="A487" t="str">
            <v>txc-6502</v>
          </cell>
          <cell r="B487" t="str">
            <v>txc</v>
          </cell>
          <cell r="C487">
            <v>6502</v>
          </cell>
          <cell r="D487">
            <v>0.96</v>
          </cell>
        </row>
        <row r="488">
          <cell r="A488" t="str">
            <v>txc-6511</v>
          </cell>
          <cell r="B488" t="str">
            <v>txc</v>
          </cell>
          <cell r="C488">
            <v>6511</v>
          </cell>
          <cell r="D488">
            <v>4.05</v>
          </cell>
        </row>
        <row r="489">
          <cell r="A489" t="str">
            <v>txc-6512</v>
          </cell>
          <cell r="B489" t="str">
            <v>txc</v>
          </cell>
          <cell r="C489">
            <v>6512</v>
          </cell>
          <cell r="D489">
            <v>0.36</v>
          </cell>
        </row>
        <row r="490">
          <cell r="A490" t="str">
            <v>txc-6601</v>
          </cell>
          <cell r="B490" t="str">
            <v>txc</v>
          </cell>
          <cell r="C490">
            <v>6601</v>
          </cell>
          <cell r="D490">
            <v>2.23</v>
          </cell>
        </row>
        <row r="491">
          <cell r="A491" t="str">
            <v>txc-6602</v>
          </cell>
          <cell r="B491" t="str">
            <v>txc</v>
          </cell>
          <cell r="C491">
            <v>6602</v>
          </cell>
          <cell r="D491">
            <v>3.69</v>
          </cell>
        </row>
        <row r="492">
          <cell r="A492" t="str">
            <v>txc-6621</v>
          </cell>
          <cell r="B492" t="str">
            <v>txc</v>
          </cell>
          <cell r="C492">
            <v>6621</v>
          </cell>
          <cell r="D492">
            <v>1.17</v>
          </cell>
        </row>
        <row r="493">
          <cell r="A493" t="str">
            <v>txc-6622</v>
          </cell>
          <cell r="B493" t="str">
            <v>txc</v>
          </cell>
          <cell r="C493">
            <v>6622</v>
          </cell>
          <cell r="D493">
            <v>6.55</v>
          </cell>
        </row>
        <row r="494">
          <cell r="A494" t="str">
            <v>txc-6611</v>
          </cell>
          <cell r="B494" t="str">
            <v>txc</v>
          </cell>
          <cell r="C494">
            <v>6611</v>
          </cell>
          <cell r="D494">
            <v>2</v>
          </cell>
        </row>
        <row r="495">
          <cell r="A495" t="str">
            <v>txc-6612</v>
          </cell>
          <cell r="B495" t="str">
            <v>txc</v>
          </cell>
          <cell r="C495">
            <v>6612</v>
          </cell>
          <cell r="D495">
            <v>3.99</v>
          </cell>
        </row>
        <row r="496">
          <cell r="A496" t="str">
            <v>txc-6901</v>
          </cell>
          <cell r="B496" t="str">
            <v>txc</v>
          </cell>
          <cell r="C496">
            <v>6901</v>
          </cell>
          <cell r="D496">
            <v>2.41</v>
          </cell>
        </row>
        <row r="497">
          <cell r="A497" t="str">
            <v>txc-6902</v>
          </cell>
          <cell r="B497" t="str">
            <v>txc</v>
          </cell>
          <cell r="C497">
            <v>6902</v>
          </cell>
          <cell r="D497">
            <v>5.75</v>
          </cell>
        </row>
        <row r="498">
          <cell r="A498" t="str">
            <v>txc-6911</v>
          </cell>
          <cell r="B498" t="str">
            <v>txc</v>
          </cell>
          <cell r="C498">
            <v>6911</v>
          </cell>
          <cell r="D498">
            <v>0.22</v>
          </cell>
        </row>
        <row r="499">
          <cell r="A499" t="str">
            <v>txc-6912</v>
          </cell>
          <cell r="B499" t="str">
            <v>txc</v>
          </cell>
          <cell r="C499">
            <v>6912</v>
          </cell>
          <cell r="D499">
            <v>0.2</v>
          </cell>
        </row>
        <row r="500">
          <cell r="A500" t="str">
            <v>txc-6921</v>
          </cell>
          <cell r="B500" t="str">
            <v>txc</v>
          </cell>
          <cell r="C500">
            <v>6921</v>
          </cell>
          <cell r="D500">
            <v>0.24</v>
          </cell>
        </row>
        <row r="501">
          <cell r="A501" t="str">
            <v>txc-6922</v>
          </cell>
          <cell r="B501" t="str">
            <v>txc</v>
          </cell>
          <cell r="C501">
            <v>6922</v>
          </cell>
          <cell r="D501">
            <v>0.3</v>
          </cell>
        </row>
        <row r="502">
          <cell r="A502" t="str">
            <v>txc-711</v>
          </cell>
          <cell r="B502" t="str">
            <v>txc</v>
          </cell>
          <cell r="C502">
            <v>711</v>
          </cell>
          <cell r="D502">
            <v>0.83</v>
          </cell>
        </row>
        <row r="503">
          <cell r="A503" t="str">
            <v>txc-712</v>
          </cell>
          <cell r="B503" t="str">
            <v>txc</v>
          </cell>
          <cell r="C503">
            <v>712</v>
          </cell>
          <cell r="D503">
            <v>4.04</v>
          </cell>
        </row>
        <row r="504">
          <cell r="A504" t="str">
            <v>txc-721</v>
          </cell>
          <cell r="B504" t="str">
            <v>txc</v>
          </cell>
          <cell r="C504">
            <v>721</v>
          </cell>
          <cell r="D504">
            <v>0.4</v>
          </cell>
        </row>
        <row r="505">
          <cell r="A505" t="str">
            <v>txc-722</v>
          </cell>
          <cell r="B505" t="str">
            <v>txc</v>
          </cell>
          <cell r="C505">
            <v>722</v>
          </cell>
          <cell r="D505">
            <v>0.45</v>
          </cell>
        </row>
        <row r="506">
          <cell r="A506" t="str">
            <v>txc-701</v>
          </cell>
          <cell r="B506" t="str">
            <v>txc</v>
          </cell>
          <cell r="C506">
            <v>701</v>
          </cell>
          <cell r="D506">
            <v>17.52</v>
          </cell>
        </row>
        <row r="507">
          <cell r="A507" t="str">
            <v>txc-702</v>
          </cell>
          <cell r="B507" t="str">
            <v>txc</v>
          </cell>
          <cell r="C507">
            <v>702</v>
          </cell>
          <cell r="D507">
            <v>0.39</v>
          </cell>
        </row>
        <row r="508">
          <cell r="A508" t="str">
            <v>txc-7001</v>
          </cell>
          <cell r="B508" t="str">
            <v>txc</v>
          </cell>
          <cell r="C508">
            <v>7001</v>
          </cell>
          <cell r="D508">
            <v>0.95</v>
          </cell>
        </row>
        <row r="509">
          <cell r="A509" t="str">
            <v>txc-7002</v>
          </cell>
          <cell r="B509" t="str">
            <v>txc</v>
          </cell>
          <cell r="C509">
            <v>7002</v>
          </cell>
          <cell r="D509">
            <v>11.01</v>
          </cell>
        </row>
        <row r="510">
          <cell r="A510" t="str">
            <v>txc-7101</v>
          </cell>
          <cell r="B510" t="str">
            <v>txc</v>
          </cell>
          <cell r="C510">
            <v>7101</v>
          </cell>
          <cell r="D510">
            <v>0.17</v>
          </cell>
        </row>
        <row r="511">
          <cell r="A511" t="str">
            <v>txc-7102</v>
          </cell>
          <cell r="B511" t="str">
            <v>txc</v>
          </cell>
          <cell r="C511">
            <v>7102</v>
          </cell>
          <cell r="D511">
            <v>0.74</v>
          </cell>
        </row>
        <row r="512">
          <cell r="A512" t="str">
            <v>txc-7111</v>
          </cell>
          <cell r="B512" t="str">
            <v>txc</v>
          </cell>
          <cell r="C512">
            <v>7111</v>
          </cell>
          <cell r="D512">
            <v>3.09</v>
          </cell>
        </row>
        <row r="513">
          <cell r="A513" t="str">
            <v>txc-7112</v>
          </cell>
          <cell r="B513" t="str">
            <v>txc</v>
          </cell>
          <cell r="C513">
            <v>7112</v>
          </cell>
          <cell r="D513">
            <v>2.17</v>
          </cell>
        </row>
        <row r="514">
          <cell r="A514" t="str">
            <v>txc-7121</v>
          </cell>
          <cell r="B514" t="str">
            <v>txc</v>
          </cell>
          <cell r="C514">
            <v>7121</v>
          </cell>
          <cell r="D514">
            <v>0.14000000000000001</v>
          </cell>
        </row>
        <row r="515">
          <cell r="A515" t="str">
            <v>txc-7122</v>
          </cell>
          <cell r="B515" t="str">
            <v>txc</v>
          </cell>
          <cell r="C515">
            <v>7122</v>
          </cell>
          <cell r="D515">
            <v>2.23</v>
          </cell>
        </row>
        <row r="516">
          <cell r="A516" t="str">
            <v>txc-7301</v>
          </cell>
          <cell r="B516" t="str">
            <v>txc</v>
          </cell>
          <cell r="C516">
            <v>7301</v>
          </cell>
          <cell r="D516">
            <v>2.6</v>
          </cell>
        </row>
        <row r="517">
          <cell r="A517" t="str">
            <v>txc-7302</v>
          </cell>
          <cell r="B517" t="str">
            <v>txc</v>
          </cell>
          <cell r="C517">
            <v>7302</v>
          </cell>
          <cell r="D517">
            <v>0.38</v>
          </cell>
        </row>
        <row r="518">
          <cell r="A518" t="str">
            <v>txc-7421</v>
          </cell>
          <cell r="B518" t="str">
            <v>txc</v>
          </cell>
          <cell r="C518">
            <v>7421</v>
          </cell>
          <cell r="D518">
            <v>0.45</v>
          </cell>
        </row>
        <row r="519">
          <cell r="A519" t="str">
            <v>txc-7422</v>
          </cell>
          <cell r="B519" t="str">
            <v>txc</v>
          </cell>
          <cell r="C519">
            <v>7422</v>
          </cell>
          <cell r="D519">
            <v>0.37</v>
          </cell>
        </row>
        <row r="520">
          <cell r="A520" t="str">
            <v>txc-7411</v>
          </cell>
          <cell r="B520" t="str">
            <v>txc</v>
          </cell>
          <cell r="C520">
            <v>7411</v>
          </cell>
          <cell r="D520">
            <v>0.87</v>
          </cell>
        </row>
        <row r="521">
          <cell r="A521" t="str">
            <v>txc-7412</v>
          </cell>
          <cell r="B521" t="str">
            <v>txc</v>
          </cell>
          <cell r="C521">
            <v>7412</v>
          </cell>
          <cell r="D521">
            <v>1.02</v>
          </cell>
        </row>
        <row r="522">
          <cell r="A522" t="str">
            <v>txc-7401</v>
          </cell>
          <cell r="B522" t="str">
            <v>txc</v>
          </cell>
          <cell r="C522">
            <v>7401</v>
          </cell>
          <cell r="D522">
            <v>4.93</v>
          </cell>
        </row>
        <row r="523">
          <cell r="A523" t="str">
            <v>txc-7402</v>
          </cell>
          <cell r="B523" t="str">
            <v>txc</v>
          </cell>
          <cell r="C523">
            <v>7402</v>
          </cell>
          <cell r="D523">
            <v>7.27</v>
          </cell>
        </row>
        <row r="524">
          <cell r="A524" t="str">
            <v>txc-7501</v>
          </cell>
          <cell r="B524" t="str">
            <v>txc</v>
          </cell>
          <cell r="C524">
            <v>7501</v>
          </cell>
          <cell r="D524">
            <v>2.76</v>
          </cell>
        </row>
        <row r="525">
          <cell r="A525" t="str">
            <v>txc-7502</v>
          </cell>
          <cell r="B525" t="str">
            <v>txc</v>
          </cell>
          <cell r="C525">
            <v>7502</v>
          </cell>
          <cell r="D525">
            <v>1.53</v>
          </cell>
        </row>
        <row r="526">
          <cell r="A526" t="str">
            <v>txc-7521</v>
          </cell>
          <cell r="B526" t="str">
            <v>txc</v>
          </cell>
          <cell r="C526">
            <v>7521</v>
          </cell>
          <cell r="D526">
            <v>4.6500000000000004</v>
          </cell>
        </row>
        <row r="527">
          <cell r="A527" t="str">
            <v>txc-7522</v>
          </cell>
          <cell r="B527" t="str">
            <v>txc</v>
          </cell>
          <cell r="C527">
            <v>7522</v>
          </cell>
          <cell r="D527">
            <v>7.89</v>
          </cell>
        </row>
        <row r="528">
          <cell r="A528" t="str">
            <v>txc-7511</v>
          </cell>
          <cell r="B528" t="str">
            <v>txc</v>
          </cell>
          <cell r="C528">
            <v>7511</v>
          </cell>
          <cell r="D528">
            <v>0.97</v>
          </cell>
        </row>
        <row r="529">
          <cell r="A529" t="str">
            <v>txc-7512</v>
          </cell>
          <cell r="B529" t="str">
            <v>txc</v>
          </cell>
          <cell r="C529">
            <v>7512</v>
          </cell>
          <cell r="D529">
            <v>1.03</v>
          </cell>
        </row>
        <row r="530">
          <cell r="A530" t="str">
            <v>txc-7701</v>
          </cell>
          <cell r="B530" t="str">
            <v>txc</v>
          </cell>
          <cell r="C530">
            <v>7701</v>
          </cell>
          <cell r="D530">
            <v>12.8</v>
          </cell>
        </row>
        <row r="531">
          <cell r="A531" t="str">
            <v>txc-7702</v>
          </cell>
          <cell r="B531" t="str">
            <v>txc</v>
          </cell>
          <cell r="C531">
            <v>7702</v>
          </cell>
          <cell r="D531">
            <v>23.61</v>
          </cell>
        </row>
        <row r="532">
          <cell r="A532" t="str">
            <v>txc-7711</v>
          </cell>
          <cell r="B532" t="str">
            <v>txc</v>
          </cell>
          <cell r="C532">
            <v>7711</v>
          </cell>
          <cell r="D532">
            <v>0.86</v>
          </cell>
        </row>
        <row r="533">
          <cell r="A533" t="str">
            <v>txc-7712</v>
          </cell>
          <cell r="B533" t="str">
            <v>txc</v>
          </cell>
          <cell r="C533">
            <v>7712</v>
          </cell>
          <cell r="D533">
            <v>1.05</v>
          </cell>
        </row>
        <row r="534">
          <cell r="A534" t="str">
            <v>txc-7721</v>
          </cell>
          <cell r="B534" t="str">
            <v>txc</v>
          </cell>
          <cell r="C534">
            <v>7721</v>
          </cell>
          <cell r="D534">
            <v>0.3</v>
          </cell>
        </row>
        <row r="535">
          <cell r="A535" t="str">
            <v>txc-7722</v>
          </cell>
          <cell r="B535" t="str">
            <v>txc</v>
          </cell>
          <cell r="C535">
            <v>7722</v>
          </cell>
          <cell r="D535">
            <v>0.27</v>
          </cell>
        </row>
        <row r="536">
          <cell r="A536" t="str">
            <v>txc-7801</v>
          </cell>
          <cell r="B536" t="str">
            <v>txc</v>
          </cell>
          <cell r="C536">
            <v>7801</v>
          </cell>
          <cell r="D536">
            <v>4</v>
          </cell>
        </row>
        <row r="537">
          <cell r="A537" t="str">
            <v>txc-7802</v>
          </cell>
          <cell r="B537" t="str">
            <v>txc</v>
          </cell>
          <cell r="C537">
            <v>7802</v>
          </cell>
          <cell r="D537">
            <v>0.33</v>
          </cell>
        </row>
        <row r="538">
          <cell r="A538" t="str">
            <v>txc-731</v>
          </cell>
          <cell r="B538" t="str">
            <v>txc</v>
          </cell>
          <cell r="C538">
            <v>731</v>
          </cell>
          <cell r="D538">
            <v>1.06</v>
          </cell>
        </row>
        <row r="539">
          <cell r="A539" t="str">
            <v>txc-732</v>
          </cell>
          <cell r="B539" t="str">
            <v>txc</v>
          </cell>
          <cell r="C539">
            <v>732</v>
          </cell>
          <cell r="D539">
            <v>0.37</v>
          </cell>
        </row>
        <row r="540">
          <cell r="A540" t="str">
            <v>txc-741</v>
          </cell>
          <cell r="B540" t="str">
            <v>txc</v>
          </cell>
          <cell r="C540">
            <v>741</v>
          </cell>
          <cell r="D540">
            <v>1.01</v>
          </cell>
        </row>
        <row r="541">
          <cell r="A541" t="str">
            <v>txc-742</v>
          </cell>
          <cell r="B541" t="str">
            <v>txc</v>
          </cell>
          <cell r="C541">
            <v>742</v>
          </cell>
          <cell r="D541">
            <v>0.45</v>
          </cell>
        </row>
        <row r="542">
          <cell r="A542" t="str">
            <v>txc-802</v>
          </cell>
          <cell r="B542" t="str">
            <v>txc</v>
          </cell>
          <cell r="C542">
            <v>802</v>
          </cell>
          <cell r="D542">
            <v>1.37</v>
          </cell>
        </row>
        <row r="543">
          <cell r="A543" t="str">
            <v>txc-811</v>
          </cell>
          <cell r="B543" t="str">
            <v>txc</v>
          </cell>
          <cell r="C543">
            <v>811</v>
          </cell>
          <cell r="D543">
            <v>3.42</v>
          </cell>
        </row>
        <row r="544">
          <cell r="A544" t="str">
            <v>txc-812</v>
          </cell>
          <cell r="B544" t="str">
            <v>txc</v>
          </cell>
          <cell r="C544">
            <v>812</v>
          </cell>
          <cell r="D544">
            <v>0.27</v>
          </cell>
        </row>
        <row r="545">
          <cell r="A545" t="str">
            <v>txc-8001</v>
          </cell>
          <cell r="B545" t="str">
            <v>txc</v>
          </cell>
          <cell r="C545">
            <v>8001</v>
          </cell>
          <cell r="D545">
            <v>2.68</v>
          </cell>
        </row>
        <row r="546">
          <cell r="A546" t="str">
            <v>txc-8002</v>
          </cell>
          <cell r="B546" t="str">
            <v>txc</v>
          </cell>
          <cell r="C546">
            <v>8002</v>
          </cell>
          <cell r="D546">
            <v>6.04</v>
          </cell>
        </row>
        <row r="547">
          <cell r="A547" t="str">
            <v>txc-8201</v>
          </cell>
          <cell r="B547" t="str">
            <v>txc</v>
          </cell>
          <cell r="C547">
            <v>8201</v>
          </cell>
          <cell r="D547">
            <v>10.19</v>
          </cell>
        </row>
        <row r="548">
          <cell r="A548" t="str">
            <v>txc-8202</v>
          </cell>
          <cell r="B548" t="str">
            <v>txc</v>
          </cell>
          <cell r="C548">
            <v>8202</v>
          </cell>
          <cell r="D548">
            <v>12.39</v>
          </cell>
        </row>
        <row r="549">
          <cell r="A549" t="str">
            <v>txc-8301</v>
          </cell>
          <cell r="B549" t="str">
            <v>txc</v>
          </cell>
          <cell r="C549">
            <v>8301</v>
          </cell>
          <cell r="D549">
            <v>10.45</v>
          </cell>
        </row>
        <row r="550">
          <cell r="A550" t="str">
            <v>txc-8302</v>
          </cell>
          <cell r="B550" t="str">
            <v>txc</v>
          </cell>
          <cell r="C550">
            <v>8302</v>
          </cell>
          <cell r="D550">
            <v>12.46</v>
          </cell>
        </row>
        <row r="551">
          <cell r="A551" t="str">
            <v>txc-8611</v>
          </cell>
          <cell r="B551" t="str">
            <v>txc</v>
          </cell>
          <cell r="C551">
            <v>8611</v>
          </cell>
          <cell r="D551">
            <v>3.67</v>
          </cell>
        </row>
        <row r="552">
          <cell r="A552" t="str">
            <v>txc-8612</v>
          </cell>
          <cell r="B552" t="str">
            <v>txc</v>
          </cell>
          <cell r="C552">
            <v>8612</v>
          </cell>
          <cell r="D552">
            <v>9.93</v>
          </cell>
        </row>
        <row r="553">
          <cell r="A553" t="str">
            <v>txc-8621</v>
          </cell>
          <cell r="B553" t="str">
            <v>txc</v>
          </cell>
          <cell r="C553">
            <v>8621</v>
          </cell>
          <cell r="D553">
            <v>10.41</v>
          </cell>
        </row>
        <row r="554">
          <cell r="A554" t="str">
            <v>txc-8622</v>
          </cell>
          <cell r="B554" t="str">
            <v>txc</v>
          </cell>
          <cell r="C554">
            <v>8622</v>
          </cell>
          <cell r="D554">
            <v>16.63</v>
          </cell>
        </row>
        <row r="555">
          <cell r="A555" t="str">
            <v>txc-8701</v>
          </cell>
          <cell r="B555" t="str">
            <v>txc</v>
          </cell>
          <cell r="C555">
            <v>8701</v>
          </cell>
          <cell r="D555">
            <v>0.45</v>
          </cell>
        </row>
        <row r="556">
          <cell r="A556" t="str">
            <v>txc-8711</v>
          </cell>
          <cell r="B556" t="str">
            <v>txc</v>
          </cell>
          <cell r="C556">
            <v>8711</v>
          </cell>
          <cell r="D556">
            <v>10.08</v>
          </cell>
        </row>
        <row r="557">
          <cell r="A557" t="str">
            <v>txc-8712</v>
          </cell>
          <cell r="B557" t="str">
            <v>txc</v>
          </cell>
          <cell r="C557">
            <v>8712</v>
          </cell>
          <cell r="D557">
            <v>20.07</v>
          </cell>
        </row>
        <row r="558">
          <cell r="A558" t="str">
            <v>txc-8901</v>
          </cell>
          <cell r="B558" t="str">
            <v>txc</v>
          </cell>
          <cell r="C558">
            <v>8901</v>
          </cell>
          <cell r="D558">
            <v>0.34</v>
          </cell>
        </row>
        <row r="559">
          <cell r="A559" t="str">
            <v>txc-8902</v>
          </cell>
          <cell r="B559" t="str">
            <v>txc</v>
          </cell>
          <cell r="C559">
            <v>8902</v>
          </cell>
          <cell r="D559">
            <v>0.37</v>
          </cell>
        </row>
        <row r="560">
          <cell r="A560" t="str">
            <v>txc-901</v>
          </cell>
          <cell r="B560" t="str">
            <v>txc</v>
          </cell>
          <cell r="C560">
            <v>901</v>
          </cell>
          <cell r="D560">
            <v>5.74</v>
          </cell>
        </row>
        <row r="561">
          <cell r="A561" t="str">
            <v>txc-902</v>
          </cell>
          <cell r="B561" t="str">
            <v>txc</v>
          </cell>
          <cell r="C561">
            <v>902</v>
          </cell>
          <cell r="D561">
            <v>10.039999999999999</v>
          </cell>
        </row>
        <row r="562">
          <cell r="A562" t="str">
            <v>txc-9001</v>
          </cell>
          <cell r="B562" t="str">
            <v>txc</v>
          </cell>
          <cell r="C562">
            <v>9001</v>
          </cell>
          <cell r="D562">
            <v>6.43</v>
          </cell>
        </row>
        <row r="563">
          <cell r="A563" t="str">
            <v>txc-9002</v>
          </cell>
          <cell r="B563" t="str">
            <v>txc</v>
          </cell>
          <cell r="C563">
            <v>9002</v>
          </cell>
          <cell r="D563">
            <v>4.95</v>
          </cell>
        </row>
        <row r="564">
          <cell r="A564" t="str">
            <v>txc-9211</v>
          </cell>
          <cell r="B564" t="str">
            <v>txc</v>
          </cell>
          <cell r="C564">
            <v>9211</v>
          </cell>
          <cell r="D564">
            <v>3.93</v>
          </cell>
        </row>
        <row r="565">
          <cell r="A565" t="str">
            <v>txc-9212</v>
          </cell>
          <cell r="B565" t="str">
            <v>txc</v>
          </cell>
          <cell r="C565">
            <v>9212</v>
          </cell>
          <cell r="D565">
            <v>2.0299999999999998</v>
          </cell>
        </row>
        <row r="566">
          <cell r="A566" t="str">
            <v>txc-9201</v>
          </cell>
          <cell r="B566" t="str">
            <v>txc</v>
          </cell>
          <cell r="C566">
            <v>9201</v>
          </cell>
          <cell r="D566">
            <v>0.22</v>
          </cell>
        </row>
        <row r="567">
          <cell r="A567" t="str">
            <v>txc-9202</v>
          </cell>
          <cell r="B567" t="str">
            <v>txc</v>
          </cell>
          <cell r="C567">
            <v>9202</v>
          </cell>
          <cell r="D567">
            <v>0.13</v>
          </cell>
        </row>
        <row r="568">
          <cell r="A568" t="str">
            <v>txc-9301</v>
          </cell>
          <cell r="B568" t="str">
            <v>txc</v>
          </cell>
          <cell r="C568">
            <v>9301</v>
          </cell>
          <cell r="D568">
            <v>15.47</v>
          </cell>
        </row>
        <row r="569">
          <cell r="A569" t="str">
            <v>txc-9302</v>
          </cell>
          <cell r="B569" t="str">
            <v>txc</v>
          </cell>
          <cell r="C569">
            <v>9302</v>
          </cell>
          <cell r="D569">
            <v>6.79</v>
          </cell>
        </row>
        <row r="570">
          <cell r="A570" t="str">
            <v>txc-9401</v>
          </cell>
          <cell r="B570" t="str">
            <v>txc</v>
          </cell>
          <cell r="C570">
            <v>9401</v>
          </cell>
          <cell r="D570">
            <v>2.66</v>
          </cell>
        </row>
        <row r="571">
          <cell r="A571" t="str">
            <v>txc-9701</v>
          </cell>
          <cell r="B571" t="str">
            <v>txc</v>
          </cell>
          <cell r="C571">
            <v>9701</v>
          </cell>
          <cell r="D571">
            <v>0.35</v>
          </cell>
        </row>
        <row r="572">
          <cell r="A572" t="str">
            <v>txc-9702</v>
          </cell>
          <cell r="B572" t="str">
            <v>txc</v>
          </cell>
          <cell r="C572">
            <v>9702</v>
          </cell>
          <cell r="D572">
            <v>0.37</v>
          </cell>
        </row>
        <row r="573">
          <cell r="A573" t="str">
            <v>txc-77712</v>
          </cell>
          <cell r="B573" t="str">
            <v>txc</v>
          </cell>
          <cell r="C573">
            <v>77712</v>
          </cell>
          <cell r="D573">
            <v>0.99</v>
          </cell>
        </row>
        <row r="574">
          <cell r="A574" t="str">
            <v>txc-77702</v>
          </cell>
          <cell r="B574" t="str">
            <v>txc</v>
          </cell>
          <cell r="C574">
            <v>77702</v>
          </cell>
          <cell r="D574">
            <v>13.88</v>
          </cell>
        </row>
        <row r="575">
          <cell r="A575" t="str">
            <v>txc-77701</v>
          </cell>
          <cell r="B575" t="str">
            <v>txc</v>
          </cell>
          <cell r="C575">
            <v>77701</v>
          </cell>
          <cell r="D575">
            <v>0.33</v>
          </cell>
        </row>
        <row r="576">
          <cell r="A576" t="str">
            <v>txc-88811</v>
          </cell>
          <cell r="B576" t="str">
            <v>txc</v>
          </cell>
          <cell r="C576">
            <v>88811</v>
          </cell>
          <cell r="D576">
            <v>4.75</v>
          </cell>
        </row>
        <row r="577">
          <cell r="A577" t="str">
            <v>txc-88801</v>
          </cell>
          <cell r="B577" t="str">
            <v>txc</v>
          </cell>
          <cell r="C577">
            <v>88801</v>
          </cell>
          <cell r="D577">
            <v>3.84</v>
          </cell>
        </row>
        <row r="578">
          <cell r="A578" t="str">
            <v>txc-88802</v>
          </cell>
          <cell r="B578" t="str">
            <v>txc</v>
          </cell>
          <cell r="C578">
            <v>88802</v>
          </cell>
          <cell r="D578">
            <v>1.22</v>
          </cell>
        </row>
        <row r="579">
          <cell r="A579" t="str">
            <v>txc-88812</v>
          </cell>
          <cell r="B579" t="str">
            <v>txc</v>
          </cell>
          <cell r="C579">
            <v>88812</v>
          </cell>
          <cell r="D579">
            <v>1.96</v>
          </cell>
        </row>
        <row r="580">
          <cell r="A580" t="str">
            <v>txc-99901</v>
          </cell>
          <cell r="B580" t="str">
            <v>txc</v>
          </cell>
          <cell r="C580">
            <v>99901</v>
          </cell>
          <cell r="D580">
            <v>1.75</v>
          </cell>
        </row>
        <row r="581">
          <cell r="A581" t="str">
            <v>txc-99902</v>
          </cell>
          <cell r="B581" t="str">
            <v>txc</v>
          </cell>
          <cell r="C581">
            <v>99902</v>
          </cell>
          <cell r="D581">
            <v>1.79</v>
          </cell>
        </row>
        <row r="582">
          <cell r="A582" t="str">
            <v>txc-1421</v>
          </cell>
          <cell r="B582" t="str">
            <v>txc</v>
          </cell>
          <cell r="C582">
            <v>1421</v>
          </cell>
          <cell r="D582">
            <v>8.7899999999999991</v>
          </cell>
        </row>
        <row r="583">
          <cell r="A583" t="str">
            <v>txc-801</v>
          </cell>
          <cell r="B583" t="str">
            <v>txc</v>
          </cell>
          <cell r="C583">
            <v>801</v>
          </cell>
          <cell r="D583">
            <v>0.22</v>
          </cell>
        </row>
        <row r="584">
          <cell r="A584" t="str">
            <v>txc-77711</v>
          </cell>
          <cell r="B584" t="str">
            <v>txc</v>
          </cell>
          <cell r="C584">
            <v>77711</v>
          </cell>
          <cell r="D584">
            <v>0.36</v>
          </cell>
        </row>
        <row r="585">
          <cell r="A585" t="str">
            <v>txc-312</v>
          </cell>
          <cell r="B585" t="str">
            <v>txc</v>
          </cell>
          <cell r="C585">
            <v>312</v>
          </cell>
          <cell r="D585">
            <v>7.75</v>
          </cell>
        </row>
        <row r="586">
          <cell r="A586" t="str">
            <v>txc-9402</v>
          </cell>
          <cell r="B586" t="str">
            <v>txc</v>
          </cell>
          <cell r="C586">
            <v>9402</v>
          </cell>
          <cell r="D586">
            <v>0.4</v>
          </cell>
        </row>
        <row r="587">
          <cell r="A587" t="str">
            <v>txc-8702</v>
          </cell>
          <cell r="B587" t="str">
            <v>txc</v>
          </cell>
          <cell r="C587">
            <v>8702</v>
          </cell>
          <cell r="D587">
            <v>14.81</v>
          </cell>
        </row>
        <row r="588">
          <cell r="A588" t="str">
            <v>txc-211</v>
          </cell>
          <cell r="B588" t="str">
            <v>txc</v>
          </cell>
          <cell r="C588">
            <v>211</v>
          </cell>
          <cell r="D588">
            <v>0.46</v>
          </cell>
        </row>
        <row r="589">
          <cell r="A589" t="str">
            <v>txc-212</v>
          </cell>
          <cell r="B589" t="str">
            <v>txc</v>
          </cell>
          <cell r="C589">
            <v>212</v>
          </cell>
          <cell r="D589">
            <v>5.95</v>
          </cell>
        </row>
        <row r="590">
          <cell r="A590" t="str">
            <v>txc-25021</v>
          </cell>
          <cell r="B590" t="str">
            <v>txc</v>
          </cell>
          <cell r="C590">
            <v>25021</v>
          </cell>
          <cell r="D590">
            <v>0.33</v>
          </cell>
        </row>
        <row r="591">
          <cell r="A591" t="str">
            <v>txc-25031</v>
          </cell>
          <cell r="B591" t="str">
            <v>txc</v>
          </cell>
          <cell r="C591">
            <v>25031</v>
          </cell>
          <cell r="D591">
            <v>2.71</v>
          </cell>
        </row>
        <row r="592">
          <cell r="A592" t="str">
            <v>txc-4932</v>
          </cell>
          <cell r="B592" t="str">
            <v>txc</v>
          </cell>
          <cell r="C592">
            <v>4932</v>
          </cell>
          <cell r="D592">
            <v>0.14000000000000001</v>
          </cell>
        </row>
        <row r="593">
          <cell r="A593" t="str">
            <v>txc-7732</v>
          </cell>
          <cell r="B593" t="str">
            <v>txc</v>
          </cell>
          <cell r="C593">
            <v>7732</v>
          </cell>
          <cell r="D593">
            <v>0.21</v>
          </cell>
        </row>
        <row r="594">
          <cell r="A594" t="str">
            <v>txc-752</v>
          </cell>
          <cell r="B594" t="str">
            <v>txc</v>
          </cell>
          <cell r="C594">
            <v>752</v>
          </cell>
          <cell r="D594">
            <v>0.76</v>
          </cell>
        </row>
        <row r="595">
          <cell r="A595" t="str">
            <v>txc-12921</v>
          </cell>
          <cell r="B595" t="str">
            <v>txc</v>
          </cell>
          <cell r="C595">
            <v>12921</v>
          </cell>
          <cell r="D595">
            <v>1.86</v>
          </cell>
        </row>
        <row r="596">
          <cell r="A596" t="str">
            <v>txc-15521</v>
          </cell>
          <cell r="B596" t="str">
            <v>txc</v>
          </cell>
          <cell r="C596">
            <v>15521</v>
          </cell>
          <cell r="D596">
            <v>0.64</v>
          </cell>
        </row>
        <row r="597">
          <cell r="A597" t="str">
            <v>txc-4721</v>
          </cell>
          <cell r="B597" t="str">
            <v>txc</v>
          </cell>
          <cell r="C597">
            <v>4721</v>
          </cell>
          <cell r="D597">
            <v>0.05</v>
          </cell>
        </row>
        <row r="598">
          <cell r="A598" t="str">
            <v>txc-4731</v>
          </cell>
          <cell r="B598" t="str">
            <v>txc</v>
          </cell>
          <cell r="C598">
            <v>4731</v>
          </cell>
          <cell r="D598">
            <v>0.69</v>
          </cell>
        </row>
        <row r="599">
          <cell r="A599" t="str">
            <v>txc-4741</v>
          </cell>
          <cell r="B599" t="str">
            <v>txc</v>
          </cell>
          <cell r="C599">
            <v>4741</v>
          </cell>
          <cell r="D599">
            <v>7.64</v>
          </cell>
        </row>
        <row r="600">
          <cell r="A600" t="str">
            <v>txc-3321</v>
          </cell>
          <cell r="B600" t="str">
            <v>txc</v>
          </cell>
          <cell r="C600">
            <v>3321</v>
          </cell>
          <cell r="D600">
            <v>0.22</v>
          </cell>
        </row>
        <row r="601">
          <cell r="A601" t="str">
            <v>txc-3331</v>
          </cell>
          <cell r="B601" t="str">
            <v>txc</v>
          </cell>
          <cell r="C601">
            <v>3331</v>
          </cell>
          <cell r="D601">
            <v>3.67</v>
          </cell>
        </row>
        <row r="602">
          <cell r="A602" t="str">
            <v>txc-</v>
          </cell>
          <cell r="B602" t="str">
            <v>txc</v>
          </cell>
        </row>
        <row r="603">
          <cell r="A603" t="str">
            <v>txc-</v>
          </cell>
          <cell r="B603" t="str">
            <v>txc</v>
          </cell>
        </row>
        <row r="604">
          <cell r="A604" t="str">
            <v>txc-</v>
          </cell>
          <cell r="B604" t="str">
            <v>txc</v>
          </cell>
        </row>
        <row r="605">
          <cell r="A605" t="str">
            <v>txc-</v>
          </cell>
          <cell r="B605" t="str">
            <v>txc</v>
          </cell>
        </row>
        <row r="606">
          <cell r="A606" t="str">
            <v>txc-</v>
          </cell>
          <cell r="B606" t="str">
            <v>txc</v>
          </cell>
        </row>
        <row r="607">
          <cell r="A607" t="str">
            <v>txc-</v>
          </cell>
          <cell r="B607" t="str">
            <v>txc</v>
          </cell>
        </row>
        <row r="608">
          <cell r="A608" t="str">
            <v>txc-</v>
          </cell>
          <cell r="B608" t="str">
            <v>txc</v>
          </cell>
        </row>
        <row r="609">
          <cell r="A609" t="str">
            <v>txc-</v>
          </cell>
          <cell r="B609" t="str">
            <v>txc</v>
          </cell>
        </row>
        <row r="610">
          <cell r="A610" t="str">
            <v>txc-</v>
          </cell>
          <cell r="B610" t="str">
            <v>txc</v>
          </cell>
        </row>
        <row r="611">
          <cell r="A611" t="str">
            <v>txc-</v>
          </cell>
          <cell r="B611" t="str">
            <v>txc</v>
          </cell>
        </row>
        <row r="612">
          <cell r="A612" t="str">
            <v>txc-</v>
          </cell>
          <cell r="B612" t="str">
            <v>txc</v>
          </cell>
        </row>
        <row r="613">
          <cell r="A613" t="str">
            <v>txc-</v>
          </cell>
          <cell r="B613" t="str">
            <v>txc</v>
          </cell>
        </row>
        <row r="614">
          <cell r="A614" t="str">
            <v>txc-</v>
          </cell>
          <cell r="B614" t="str">
            <v>txc</v>
          </cell>
        </row>
        <row r="615">
          <cell r="A615" t="str">
            <v>txc-</v>
          </cell>
          <cell r="B615" t="str">
            <v>txc</v>
          </cell>
        </row>
        <row r="616">
          <cell r="A616" t="str">
            <v>txc-</v>
          </cell>
          <cell r="B616" t="str">
            <v>txc</v>
          </cell>
        </row>
        <row r="617">
          <cell r="A617" t="str">
            <v>txc-</v>
          </cell>
          <cell r="B617" t="str">
            <v>txc</v>
          </cell>
        </row>
        <row r="618">
          <cell r="A618" t="str">
            <v>txc-</v>
          </cell>
          <cell r="B618" t="str">
            <v>txc</v>
          </cell>
        </row>
        <row r="619">
          <cell r="A619" t="str">
            <v>txc-</v>
          </cell>
          <cell r="B619" t="str">
            <v>txc</v>
          </cell>
        </row>
        <row r="620">
          <cell r="A620" t="str">
            <v>txc-</v>
          </cell>
          <cell r="B620" t="str">
            <v>txc</v>
          </cell>
        </row>
        <row r="621">
          <cell r="A621" t="str">
            <v>txc-</v>
          </cell>
          <cell r="B621" t="str">
            <v>txc</v>
          </cell>
        </row>
        <row r="622">
          <cell r="A622" t="str">
            <v>txc-</v>
          </cell>
          <cell r="B622" t="str">
            <v>txc</v>
          </cell>
        </row>
        <row r="623">
          <cell r="A623" t="str">
            <v>txc-</v>
          </cell>
          <cell r="B623" t="str">
            <v>txc</v>
          </cell>
        </row>
        <row r="624">
          <cell r="A624" t="str">
            <v>txc-</v>
          </cell>
          <cell r="B624" t="str">
            <v>txc</v>
          </cell>
        </row>
        <row r="625">
          <cell r="A625" t="str">
            <v>txc-</v>
          </cell>
          <cell r="B625" t="str">
            <v>txc</v>
          </cell>
        </row>
        <row r="626">
          <cell r="A626" t="str">
            <v>txc-</v>
          </cell>
          <cell r="B626" t="str">
            <v>txc</v>
          </cell>
        </row>
        <row r="627">
          <cell r="A627" t="str">
            <v>txc-</v>
          </cell>
          <cell r="B627" t="str">
            <v>txc</v>
          </cell>
        </row>
        <row r="628">
          <cell r="A628" t="str">
            <v>txc-</v>
          </cell>
          <cell r="B628" t="str">
            <v>txc</v>
          </cell>
        </row>
        <row r="629">
          <cell r="A629" t="str">
            <v>txc-</v>
          </cell>
          <cell r="B629" t="str">
            <v>txc</v>
          </cell>
        </row>
        <row r="630">
          <cell r="A630" t="str">
            <v>txc-</v>
          </cell>
          <cell r="B630" t="str">
            <v>txc</v>
          </cell>
        </row>
        <row r="631">
          <cell r="A631" t="str">
            <v>txc-</v>
          </cell>
          <cell r="B631" t="str">
            <v>txc</v>
          </cell>
        </row>
        <row r="632">
          <cell r="A632" t="str">
            <v>txc-</v>
          </cell>
          <cell r="B632" t="str">
            <v>txc</v>
          </cell>
        </row>
        <row r="633">
          <cell r="A633" t="str">
            <v>txc-</v>
          </cell>
          <cell r="B633" t="str">
            <v>txc</v>
          </cell>
        </row>
        <row r="634">
          <cell r="A634" t="str">
            <v>txc-</v>
          </cell>
          <cell r="B634" t="str">
            <v>txc</v>
          </cell>
        </row>
        <row r="635">
          <cell r="A635" t="str">
            <v>txc-</v>
          </cell>
          <cell r="B635" t="str">
            <v>txc</v>
          </cell>
        </row>
        <row r="636">
          <cell r="A636" t="str">
            <v>txc-</v>
          </cell>
          <cell r="B636" t="str">
            <v>txc</v>
          </cell>
        </row>
        <row r="637">
          <cell r="A637" t="str">
            <v>txc-</v>
          </cell>
          <cell r="B637" t="str">
            <v>txc</v>
          </cell>
        </row>
        <row r="638">
          <cell r="A638" t="str">
            <v>txc-</v>
          </cell>
          <cell r="B638" t="str">
            <v>txc</v>
          </cell>
        </row>
        <row r="639">
          <cell r="A639" t="str">
            <v>txc-</v>
          </cell>
          <cell r="B639" t="str">
            <v>txc</v>
          </cell>
        </row>
        <row r="640">
          <cell r="A640" t="str">
            <v>txc-</v>
          </cell>
          <cell r="B640" t="str">
            <v>txc</v>
          </cell>
        </row>
        <row r="641">
          <cell r="A641" t="str">
            <v>txc-</v>
          </cell>
          <cell r="B641" t="str">
            <v>txc</v>
          </cell>
        </row>
        <row r="642">
          <cell r="A642" t="str">
            <v>txc-</v>
          </cell>
          <cell r="B642" t="str">
            <v>txc</v>
          </cell>
        </row>
        <row r="643">
          <cell r="A643" t="str">
            <v>txc-</v>
          </cell>
          <cell r="B643" t="str">
            <v>txc</v>
          </cell>
        </row>
        <row r="644">
          <cell r="A644" t="str">
            <v>txc-</v>
          </cell>
          <cell r="B644" t="str">
            <v>txc</v>
          </cell>
        </row>
        <row r="645">
          <cell r="A645" t="str">
            <v>txc-</v>
          </cell>
          <cell r="B645" t="str">
            <v>txc</v>
          </cell>
        </row>
        <row r="646">
          <cell r="A646" t="str">
            <v>txc-</v>
          </cell>
          <cell r="B646" t="str">
            <v>txc</v>
          </cell>
        </row>
        <row r="647">
          <cell r="A647" t="str">
            <v>txc-</v>
          </cell>
          <cell r="B647" t="str">
            <v>txc</v>
          </cell>
        </row>
        <row r="648">
          <cell r="A648" t="str">
            <v>txc-</v>
          </cell>
          <cell r="B648" t="str">
            <v>txc</v>
          </cell>
        </row>
        <row r="649">
          <cell r="A649" t="str">
            <v>txc-</v>
          </cell>
          <cell r="B649" t="str">
            <v>txc</v>
          </cell>
        </row>
        <row r="650">
          <cell r="A650" t="str">
            <v>txc-</v>
          </cell>
          <cell r="B650" t="str">
            <v>txc</v>
          </cell>
        </row>
        <row r="651">
          <cell r="A651" t="str">
            <v>txc-</v>
          </cell>
          <cell r="B651" t="str">
            <v>txc</v>
          </cell>
        </row>
        <row r="652">
          <cell r="A652" t="str">
            <v>txc-</v>
          </cell>
          <cell r="B652" t="str">
            <v>txc</v>
          </cell>
        </row>
        <row r="653">
          <cell r="A653" t="str">
            <v>txc-</v>
          </cell>
          <cell r="B653" t="str">
            <v>txc</v>
          </cell>
        </row>
        <row r="654">
          <cell r="A654" t="str">
            <v>txc-</v>
          </cell>
          <cell r="B654" t="str">
            <v>txc</v>
          </cell>
        </row>
        <row r="655">
          <cell r="A655" t="str">
            <v>txc-</v>
          </cell>
          <cell r="B655" t="str">
            <v>txc</v>
          </cell>
        </row>
        <row r="656">
          <cell r="A656" t="str">
            <v>txc-</v>
          </cell>
          <cell r="B656" t="str">
            <v>txc</v>
          </cell>
        </row>
        <row r="657">
          <cell r="A657" t="str">
            <v>txc-</v>
          </cell>
          <cell r="B657" t="str">
            <v>txc</v>
          </cell>
        </row>
        <row r="658">
          <cell r="A658" t="str">
            <v>txc-</v>
          </cell>
          <cell r="B658" t="str">
            <v>txc</v>
          </cell>
        </row>
        <row r="659">
          <cell r="A659" t="str">
            <v>txc-</v>
          </cell>
          <cell r="B659" t="str">
            <v>txc</v>
          </cell>
        </row>
        <row r="660">
          <cell r="A660" t="str">
            <v>txc-</v>
          </cell>
          <cell r="B660" t="str">
            <v>txc</v>
          </cell>
        </row>
        <row r="661">
          <cell r="A661" t="str">
            <v>txc-</v>
          </cell>
          <cell r="B661" t="str">
            <v>txc</v>
          </cell>
        </row>
        <row r="662">
          <cell r="A662" t="str">
            <v>txc-</v>
          </cell>
          <cell r="B662" t="str">
            <v>txc</v>
          </cell>
        </row>
        <row r="663">
          <cell r="A663" t="str">
            <v>txc-</v>
          </cell>
          <cell r="B663" t="str">
            <v>txc</v>
          </cell>
        </row>
        <row r="664">
          <cell r="A664" t="str">
            <v>txc-</v>
          </cell>
          <cell r="B664" t="str">
            <v>txc</v>
          </cell>
        </row>
        <row r="665">
          <cell r="A665" t="str">
            <v>txc-</v>
          </cell>
          <cell r="B665" t="str">
            <v>txc</v>
          </cell>
        </row>
        <row r="666">
          <cell r="A666" t="str">
            <v>txc-</v>
          </cell>
          <cell r="B666" t="str">
            <v>txc</v>
          </cell>
        </row>
        <row r="667">
          <cell r="A667" t="str">
            <v>txc-</v>
          </cell>
          <cell r="B667" t="str">
            <v>txc</v>
          </cell>
        </row>
        <row r="668">
          <cell r="A668" t="str">
            <v>txc-</v>
          </cell>
          <cell r="B668" t="str">
            <v>txc</v>
          </cell>
        </row>
        <row r="669">
          <cell r="A669" t="str">
            <v>txc-</v>
          </cell>
          <cell r="B669" t="str">
            <v>txc</v>
          </cell>
        </row>
        <row r="670">
          <cell r="A670" t="str">
            <v>txc-</v>
          </cell>
          <cell r="B670" t="str">
            <v>txc</v>
          </cell>
        </row>
        <row r="671">
          <cell r="A671" t="str">
            <v>txc-</v>
          </cell>
          <cell r="B671" t="str">
            <v>txc</v>
          </cell>
        </row>
        <row r="672">
          <cell r="A672" t="str">
            <v>txc-</v>
          </cell>
          <cell r="B672" t="str">
            <v>txc</v>
          </cell>
        </row>
        <row r="673">
          <cell r="A673" t="str">
            <v>txc-</v>
          </cell>
          <cell r="B673" t="str">
            <v>txc</v>
          </cell>
        </row>
        <row r="674">
          <cell r="A674" t="str">
            <v>txc-</v>
          </cell>
          <cell r="B674" t="str">
            <v>txc</v>
          </cell>
        </row>
        <row r="675">
          <cell r="A675" t="str">
            <v>txc-</v>
          </cell>
          <cell r="B675" t="str">
            <v>txc</v>
          </cell>
        </row>
        <row r="676">
          <cell r="A676" t="str">
            <v>txc-</v>
          </cell>
          <cell r="B676" t="str">
            <v>txc</v>
          </cell>
        </row>
        <row r="677">
          <cell r="A677" t="str">
            <v>txc-</v>
          </cell>
          <cell r="B677" t="str">
            <v>txc</v>
          </cell>
        </row>
        <row r="678">
          <cell r="A678" t="str">
            <v>txc-</v>
          </cell>
          <cell r="B678" t="str">
            <v>txc</v>
          </cell>
        </row>
        <row r="679">
          <cell r="A679" t="str">
            <v>txc-</v>
          </cell>
          <cell r="B679" t="str">
            <v>txc</v>
          </cell>
        </row>
        <row r="680">
          <cell r="A680" t="str">
            <v>txc-</v>
          </cell>
          <cell r="B680" t="str">
            <v>txc</v>
          </cell>
        </row>
        <row r="681">
          <cell r="A681" t="str">
            <v>txc-</v>
          </cell>
          <cell r="B681" t="str">
            <v>txc</v>
          </cell>
        </row>
        <row r="682">
          <cell r="A682" t="str">
            <v>txc-</v>
          </cell>
          <cell r="B682" t="str">
            <v>txc</v>
          </cell>
        </row>
        <row r="683">
          <cell r="A683" t="str">
            <v>txc-</v>
          </cell>
          <cell r="B683" t="str">
            <v>txc</v>
          </cell>
        </row>
        <row r="684">
          <cell r="A684" t="str">
            <v>txc-</v>
          </cell>
          <cell r="B684" t="str">
            <v>txc</v>
          </cell>
        </row>
        <row r="685">
          <cell r="A685" t="str">
            <v>txc-</v>
          </cell>
          <cell r="B685" t="str">
            <v>txc</v>
          </cell>
        </row>
        <row r="686">
          <cell r="A686" t="str">
            <v>txc-</v>
          </cell>
          <cell r="B686" t="str">
            <v>txc</v>
          </cell>
        </row>
        <row r="687">
          <cell r="A687" t="str">
            <v>txc-</v>
          </cell>
          <cell r="B687" t="str">
            <v>txc</v>
          </cell>
        </row>
        <row r="688">
          <cell r="A688" t="str">
            <v>txc-</v>
          </cell>
          <cell r="B688" t="str">
            <v>txc</v>
          </cell>
        </row>
        <row r="689">
          <cell r="A689" t="str">
            <v>txc-</v>
          </cell>
          <cell r="B689" t="str">
            <v>txc</v>
          </cell>
        </row>
        <row r="690">
          <cell r="A690" t="str">
            <v>txc-</v>
          </cell>
          <cell r="B690" t="str">
            <v>txc</v>
          </cell>
        </row>
        <row r="691">
          <cell r="A691" t="str">
            <v>txc-</v>
          </cell>
          <cell r="B691" t="str">
            <v>txc</v>
          </cell>
        </row>
        <row r="692">
          <cell r="A692" t="str">
            <v>txc-</v>
          </cell>
          <cell r="B692" t="str">
            <v>txc</v>
          </cell>
        </row>
        <row r="693">
          <cell r="A693" t="str">
            <v>txc-</v>
          </cell>
          <cell r="B693" t="str">
            <v>txc</v>
          </cell>
        </row>
        <row r="694">
          <cell r="A694" t="str">
            <v>txc-</v>
          </cell>
          <cell r="B694" t="str">
            <v>txc</v>
          </cell>
        </row>
        <row r="695">
          <cell r="A695" t="str">
            <v>txc-</v>
          </cell>
          <cell r="B695" t="str">
            <v>txc</v>
          </cell>
        </row>
        <row r="696">
          <cell r="A696" t="str">
            <v>txc-</v>
          </cell>
          <cell r="B696" t="str">
            <v>txc</v>
          </cell>
        </row>
        <row r="697">
          <cell r="A697" t="str">
            <v>txc-</v>
          </cell>
          <cell r="B697" t="str">
            <v>txc</v>
          </cell>
        </row>
        <row r="698">
          <cell r="A698" t="str">
            <v>txc-</v>
          </cell>
          <cell r="B698" t="str">
            <v>txc</v>
          </cell>
        </row>
        <row r="699">
          <cell r="A699" t="str">
            <v>txc-</v>
          </cell>
          <cell r="B699" t="str">
            <v>txc</v>
          </cell>
        </row>
        <row r="700">
          <cell r="A700" t="str">
            <v>txc-</v>
          </cell>
          <cell r="B700" t="str">
            <v>txc</v>
          </cell>
        </row>
        <row r="701">
          <cell r="A701" t="str">
            <v>txc-</v>
          </cell>
          <cell r="B701" t="str">
            <v>txc</v>
          </cell>
        </row>
        <row r="702">
          <cell r="A702" t="str">
            <v>txc-</v>
          </cell>
          <cell r="B702" t="str">
            <v>txc</v>
          </cell>
        </row>
        <row r="703">
          <cell r="A703" t="str">
            <v>txc-</v>
          </cell>
          <cell r="B703" t="str">
            <v>txc</v>
          </cell>
        </row>
        <row r="704">
          <cell r="A704" t="str">
            <v>txc-</v>
          </cell>
          <cell r="B704" t="str">
            <v>txc</v>
          </cell>
        </row>
        <row r="705">
          <cell r="A705" t="str">
            <v>txc-</v>
          </cell>
          <cell r="B705" t="str">
            <v>txc</v>
          </cell>
        </row>
        <row r="706">
          <cell r="A706" t="str">
            <v>txc-</v>
          </cell>
          <cell r="B706" t="str">
            <v>txc</v>
          </cell>
        </row>
        <row r="707">
          <cell r="A707" t="str">
            <v>txc-</v>
          </cell>
          <cell r="B707" t="str">
            <v>txc</v>
          </cell>
        </row>
        <row r="708">
          <cell r="A708" t="str">
            <v>txc-</v>
          </cell>
          <cell r="B708" t="str">
            <v>txc</v>
          </cell>
        </row>
        <row r="709">
          <cell r="A709" t="str">
            <v>txc-</v>
          </cell>
          <cell r="B709" t="str">
            <v>txc</v>
          </cell>
        </row>
        <row r="710">
          <cell r="A710" t="str">
            <v>txc-</v>
          </cell>
          <cell r="B710" t="str">
            <v>txc</v>
          </cell>
        </row>
        <row r="711">
          <cell r="A711" t="str">
            <v>txc-</v>
          </cell>
          <cell r="B711" t="str">
            <v>txc</v>
          </cell>
        </row>
        <row r="712">
          <cell r="A712" t="str">
            <v>txc-</v>
          </cell>
          <cell r="B712" t="str">
            <v>txc</v>
          </cell>
        </row>
        <row r="713">
          <cell r="A713" t="str">
            <v>txc-</v>
          </cell>
          <cell r="B713" t="str">
            <v>txc</v>
          </cell>
        </row>
        <row r="714">
          <cell r="A714" t="str">
            <v>txc-</v>
          </cell>
          <cell r="B714" t="str">
            <v>txc</v>
          </cell>
        </row>
        <row r="715">
          <cell r="A715" t="str">
            <v>txc-</v>
          </cell>
          <cell r="B715" t="str">
            <v>txc</v>
          </cell>
        </row>
        <row r="716">
          <cell r="A716" t="str">
            <v>txc-</v>
          </cell>
          <cell r="B716" t="str">
            <v>txc</v>
          </cell>
        </row>
        <row r="717">
          <cell r="A717" t="str">
            <v>txc-</v>
          </cell>
          <cell r="B717" t="str">
            <v>txc</v>
          </cell>
        </row>
        <row r="718">
          <cell r="A718" t="str">
            <v>txc-</v>
          </cell>
          <cell r="B718" t="str">
            <v>txc</v>
          </cell>
        </row>
        <row r="719">
          <cell r="A719" t="str">
            <v>txc-</v>
          </cell>
          <cell r="B719" t="str">
            <v>txc</v>
          </cell>
        </row>
        <row r="720">
          <cell r="A720" t="str">
            <v>txc-</v>
          </cell>
          <cell r="B720" t="str">
            <v>txc</v>
          </cell>
        </row>
        <row r="721">
          <cell r="A721" t="str">
            <v>txc-</v>
          </cell>
          <cell r="B721" t="str">
            <v>txc</v>
          </cell>
        </row>
        <row r="722">
          <cell r="A722" t="str">
            <v>txc-</v>
          </cell>
          <cell r="B722" t="str">
            <v>txc</v>
          </cell>
        </row>
        <row r="723">
          <cell r="A723" t="str">
            <v>txc-</v>
          </cell>
          <cell r="B723" t="str">
            <v>txc</v>
          </cell>
        </row>
        <row r="724">
          <cell r="A724" t="str">
            <v>txc-</v>
          </cell>
          <cell r="B724" t="str">
            <v>txc</v>
          </cell>
        </row>
        <row r="725">
          <cell r="A725" t="str">
            <v>txc-</v>
          </cell>
          <cell r="B725" t="str">
            <v>txc</v>
          </cell>
        </row>
        <row r="726">
          <cell r="A726" t="str">
            <v>txc-</v>
          </cell>
          <cell r="B726" t="str">
            <v>txc</v>
          </cell>
        </row>
        <row r="727">
          <cell r="A727" t="str">
            <v>txc-</v>
          </cell>
          <cell r="B727" t="str">
            <v>txc</v>
          </cell>
        </row>
        <row r="728">
          <cell r="A728" t="str">
            <v>txc-</v>
          </cell>
          <cell r="B728" t="str">
            <v>txc</v>
          </cell>
        </row>
        <row r="729">
          <cell r="A729" t="str">
            <v>txc-</v>
          </cell>
          <cell r="B729" t="str">
            <v>txc</v>
          </cell>
        </row>
        <row r="730">
          <cell r="A730" t="str">
            <v>txc-</v>
          </cell>
          <cell r="B730" t="str">
            <v>txc</v>
          </cell>
        </row>
        <row r="731">
          <cell r="A731" t="str">
            <v>txc-</v>
          </cell>
          <cell r="B731" t="str">
            <v>txc</v>
          </cell>
        </row>
        <row r="732">
          <cell r="A732" t="str">
            <v>txc-</v>
          </cell>
          <cell r="B732" t="str">
            <v>txc</v>
          </cell>
        </row>
        <row r="733">
          <cell r="A733" t="str">
            <v>txc-</v>
          </cell>
          <cell r="B733" t="str">
            <v>txc</v>
          </cell>
        </row>
        <row r="734">
          <cell r="A734" t="str">
            <v>txc-</v>
          </cell>
          <cell r="B734" t="str">
            <v>txc</v>
          </cell>
        </row>
        <row r="735">
          <cell r="A735" t="str">
            <v>txc-</v>
          </cell>
          <cell r="B735" t="str">
            <v>txc</v>
          </cell>
        </row>
        <row r="736">
          <cell r="A736" t="str">
            <v>txc-</v>
          </cell>
          <cell r="B736" t="str">
            <v>txc</v>
          </cell>
        </row>
        <row r="737">
          <cell r="A737" t="str">
            <v>txc-</v>
          </cell>
          <cell r="B737" t="str">
            <v>txc</v>
          </cell>
        </row>
        <row r="738">
          <cell r="A738" t="str">
            <v>txc-</v>
          </cell>
          <cell r="B738" t="str">
            <v>txc</v>
          </cell>
        </row>
        <row r="739">
          <cell r="A739" t="str">
            <v>txc-</v>
          </cell>
          <cell r="B739" t="str">
            <v>txc</v>
          </cell>
        </row>
        <row r="740">
          <cell r="A740" t="str">
            <v>txc-</v>
          </cell>
          <cell r="B740" t="str">
            <v>txc</v>
          </cell>
        </row>
        <row r="741">
          <cell r="A741" t="str">
            <v>txc-</v>
          </cell>
          <cell r="B741" t="str">
            <v>txc</v>
          </cell>
        </row>
        <row r="742">
          <cell r="A742" t="str">
            <v>txc-</v>
          </cell>
          <cell r="B742" t="str">
            <v>txc</v>
          </cell>
        </row>
        <row r="743">
          <cell r="A743" t="str">
            <v>txc-</v>
          </cell>
          <cell r="B743" t="str">
            <v>txc</v>
          </cell>
        </row>
        <row r="744">
          <cell r="A744" t="str">
            <v>txc-</v>
          </cell>
          <cell r="B744" t="str">
            <v>txc</v>
          </cell>
        </row>
        <row r="745">
          <cell r="A745" t="str">
            <v>txc-</v>
          </cell>
          <cell r="B745" t="str">
            <v>txc</v>
          </cell>
        </row>
        <row r="746">
          <cell r="A746" t="str">
            <v>txc-</v>
          </cell>
          <cell r="B746" t="str">
            <v>txc</v>
          </cell>
        </row>
        <row r="747">
          <cell r="A747" t="str">
            <v>txc-</v>
          </cell>
          <cell r="B747" t="str">
            <v>txc</v>
          </cell>
        </row>
        <row r="748">
          <cell r="A748" t="str">
            <v>txc-</v>
          </cell>
          <cell r="B748" t="str">
            <v>txc</v>
          </cell>
        </row>
        <row r="749">
          <cell r="A749" t="str">
            <v>txc-</v>
          </cell>
          <cell r="B749" t="str">
            <v>txc</v>
          </cell>
        </row>
        <row r="750">
          <cell r="A750" t="str">
            <v>txc-</v>
          </cell>
          <cell r="B750" t="str">
            <v>txc</v>
          </cell>
        </row>
        <row r="751">
          <cell r="A751" t="str">
            <v>txc-</v>
          </cell>
          <cell r="B751" t="str">
            <v>txc</v>
          </cell>
        </row>
        <row r="752">
          <cell r="A752" t="str">
            <v>txc-</v>
          </cell>
          <cell r="B752" t="str">
            <v>txc</v>
          </cell>
        </row>
        <row r="753">
          <cell r="A753" t="str">
            <v>txc-</v>
          </cell>
          <cell r="B753" t="str">
            <v>txc</v>
          </cell>
        </row>
        <row r="754">
          <cell r="A754" t="str">
            <v>txc-</v>
          </cell>
          <cell r="B754" t="str">
            <v>txc</v>
          </cell>
        </row>
        <row r="755">
          <cell r="A755" t="str">
            <v>txc-</v>
          </cell>
          <cell r="B755" t="str">
            <v>txc</v>
          </cell>
        </row>
        <row r="756">
          <cell r="A756" t="str">
            <v>txc-</v>
          </cell>
          <cell r="B756" t="str">
            <v>txc</v>
          </cell>
        </row>
        <row r="757">
          <cell r="A757" t="str">
            <v>txc-</v>
          </cell>
          <cell r="B757" t="str">
            <v>txc</v>
          </cell>
        </row>
        <row r="758">
          <cell r="A758" t="str">
            <v>txc-</v>
          </cell>
          <cell r="B758" t="str">
            <v>txc</v>
          </cell>
        </row>
        <row r="759">
          <cell r="A759" t="str">
            <v>txc-</v>
          </cell>
          <cell r="B759" t="str">
            <v>txc</v>
          </cell>
        </row>
        <row r="760">
          <cell r="A760" t="str">
            <v>txc-</v>
          </cell>
          <cell r="B760" t="str">
            <v>txc</v>
          </cell>
        </row>
        <row r="761">
          <cell r="A761" t="str">
            <v>txc-</v>
          </cell>
          <cell r="B761" t="str">
            <v>txc</v>
          </cell>
        </row>
        <row r="762">
          <cell r="A762" t="str">
            <v>txc-</v>
          </cell>
          <cell r="B762" t="str">
            <v>txc</v>
          </cell>
        </row>
        <row r="763">
          <cell r="A763" t="str">
            <v>txc-</v>
          </cell>
          <cell r="B763" t="str">
            <v>txc</v>
          </cell>
        </row>
        <row r="764">
          <cell r="A764" t="str">
            <v>txc-</v>
          </cell>
          <cell r="B764" t="str">
            <v>txc</v>
          </cell>
        </row>
        <row r="765">
          <cell r="A765" t="str">
            <v>txc-</v>
          </cell>
          <cell r="B765" t="str">
            <v>txc</v>
          </cell>
        </row>
        <row r="766">
          <cell r="A766" t="str">
            <v>txc-</v>
          </cell>
          <cell r="B766" t="str">
            <v>txc</v>
          </cell>
        </row>
        <row r="767">
          <cell r="A767" t="str">
            <v>txc-</v>
          </cell>
          <cell r="B767" t="str">
            <v>txc</v>
          </cell>
        </row>
        <row r="768">
          <cell r="A768" t="str">
            <v>txc-</v>
          </cell>
          <cell r="B768" t="str">
            <v>txc</v>
          </cell>
        </row>
        <row r="769">
          <cell r="A769" t="str">
            <v>txc-</v>
          </cell>
          <cell r="B769" t="str">
            <v>txc</v>
          </cell>
        </row>
        <row r="770">
          <cell r="A770" t="str">
            <v>txc-</v>
          </cell>
          <cell r="B770" t="str">
            <v>txc</v>
          </cell>
        </row>
        <row r="771">
          <cell r="A771" t="str">
            <v>txc-</v>
          </cell>
          <cell r="B771" t="str">
            <v>txc</v>
          </cell>
        </row>
        <row r="772">
          <cell r="A772" t="str">
            <v>txc-</v>
          </cell>
          <cell r="B772" t="str">
            <v>txc</v>
          </cell>
        </row>
        <row r="773">
          <cell r="A773" t="str">
            <v>txc-</v>
          </cell>
          <cell r="B773" t="str">
            <v>txc</v>
          </cell>
        </row>
        <row r="774">
          <cell r="A774" t="str">
            <v>txc-</v>
          </cell>
          <cell r="B774" t="str">
            <v>txc</v>
          </cell>
        </row>
        <row r="775">
          <cell r="A775" t="str">
            <v>txc-</v>
          </cell>
          <cell r="B775" t="str">
            <v>txc</v>
          </cell>
        </row>
        <row r="776">
          <cell r="A776" t="str">
            <v>txc-</v>
          </cell>
          <cell r="B776" t="str">
            <v>txc</v>
          </cell>
        </row>
        <row r="777">
          <cell r="A777" t="str">
            <v>txc-</v>
          </cell>
          <cell r="B777" t="str">
            <v>txc</v>
          </cell>
        </row>
        <row r="778">
          <cell r="A778" t="str">
            <v>txc-</v>
          </cell>
          <cell r="B778" t="str">
            <v>txc</v>
          </cell>
        </row>
        <row r="779">
          <cell r="A779" t="str">
            <v>txc-</v>
          </cell>
          <cell r="B779" t="str">
            <v>txc</v>
          </cell>
        </row>
        <row r="780">
          <cell r="A780" t="str">
            <v>txc-</v>
          </cell>
          <cell r="B780" t="str">
            <v>txc</v>
          </cell>
        </row>
        <row r="781">
          <cell r="A781" t="str">
            <v>txc-</v>
          </cell>
          <cell r="B781" t="str">
            <v>txc</v>
          </cell>
        </row>
        <row r="782">
          <cell r="A782" t="str">
            <v>txc-</v>
          </cell>
          <cell r="B782" t="str">
            <v>txc</v>
          </cell>
        </row>
        <row r="783">
          <cell r="A783" t="str">
            <v>txc-</v>
          </cell>
          <cell r="B783" t="str">
            <v>txc</v>
          </cell>
        </row>
        <row r="784">
          <cell r="A784" t="str">
            <v>txc-</v>
          </cell>
          <cell r="B784" t="str">
            <v>txc</v>
          </cell>
        </row>
        <row r="785">
          <cell r="A785" t="str">
            <v>txc-</v>
          </cell>
          <cell r="B785" t="str">
            <v>txc</v>
          </cell>
        </row>
        <row r="786">
          <cell r="A786" t="str">
            <v>txc-</v>
          </cell>
          <cell r="B786" t="str">
            <v>txc</v>
          </cell>
        </row>
        <row r="787">
          <cell r="A787" t="str">
            <v>txc-</v>
          </cell>
          <cell r="B787" t="str">
            <v>txc</v>
          </cell>
        </row>
        <row r="788">
          <cell r="A788" t="str">
            <v>txc-</v>
          </cell>
          <cell r="B788" t="str">
            <v>txc</v>
          </cell>
        </row>
        <row r="789">
          <cell r="A789" t="str">
            <v>txc-</v>
          </cell>
          <cell r="B789" t="str">
            <v>txc</v>
          </cell>
        </row>
        <row r="790">
          <cell r="A790" t="str">
            <v>txc-</v>
          </cell>
          <cell r="B790" t="str">
            <v>txc</v>
          </cell>
        </row>
        <row r="791">
          <cell r="A791" t="str">
            <v>txc-</v>
          </cell>
          <cell r="B791" t="str">
            <v>txc</v>
          </cell>
        </row>
        <row r="792">
          <cell r="A792" t="str">
            <v>txc-</v>
          </cell>
          <cell r="B792" t="str">
            <v>txc</v>
          </cell>
        </row>
        <row r="793">
          <cell r="A793" t="str">
            <v>txc-</v>
          </cell>
          <cell r="B793" t="str">
            <v>txc</v>
          </cell>
        </row>
        <row r="794">
          <cell r="A794" t="str">
            <v>txc-</v>
          </cell>
          <cell r="B794" t="str">
            <v>txc</v>
          </cell>
        </row>
        <row r="795">
          <cell r="A795" t="str">
            <v>txc-</v>
          </cell>
          <cell r="B795" t="str">
            <v>txc</v>
          </cell>
        </row>
        <row r="796">
          <cell r="A796" t="str">
            <v>txc-</v>
          </cell>
          <cell r="B796" t="str">
            <v>txc</v>
          </cell>
        </row>
        <row r="797">
          <cell r="A797" t="str">
            <v>txc-</v>
          </cell>
          <cell r="B797" t="str">
            <v>txc</v>
          </cell>
        </row>
        <row r="798">
          <cell r="A798" t="str">
            <v>txc-</v>
          </cell>
          <cell r="B798" t="str">
            <v>txc</v>
          </cell>
        </row>
        <row r="799">
          <cell r="A799" t="str">
            <v>txc-</v>
          </cell>
          <cell r="B799" t="str">
            <v>txc</v>
          </cell>
        </row>
        <row r="800">
          <cell r="A800" t="str">
            <v>txc-</v>
          </cell>
          <cell r="B800" t="str">
            <v>txc</v>
          </cell>
        </row>
        <row r="801">
          <cell r="A801" t="str">
            <v>txc-</v>
          </cell>
          <cell r="B801" t="str">
            <v>txc</v>
          </cell>
        </row>
        <row r="802">
          <cell r="A802" t="str">
            <v>txc-</v>
          </cell>
          <cell r="B802" t="str">
            <v>txc</v>
          </cell>
        </row>
        <row r="803">
          <cell r="A803" t="str">
            <v>txc-</v>
          </cell>
          <cell r="B803" t="str">
            <v>txc</v>
          </cell>
        </row>
        <row r="804">
          <cell r="A804" t="str">
            <v>txc-</v>
          </cell>
          <cell r="B804" t="str">
            <v>txc</v>
          </cell>
        </row>
        <row r="805">
          <cell r="A805" t="str">
            <v>txc-</v>
          </cell>
          <cell r="B805" t="str">
            <v>txc</v>
          </cell>
        </row>
        <row r="806">
          <cell r="A806" t="str">
            <v>txc-</v>
          </cell>
          <cell r="B806" t="str">
            <v>txc</v>
          </cell>
        </row>
        <row r="807">
          <cell r="A807" t="str">
            <v>txc-</v>
          </cell>
          <cell r="B807" t="str">
            <v>txc</v>
          </cell>
        </row>
        <row r="808">
          <cell r="A808" t="str">
            <v>txc-</v>
          </cell>
          <cell r="B808" t="str">
            <v>txc</v>
          </cell>
        </row>
        <row r="809">
          <cell r="A809" t="str">
            <v>txc-</v>
          </cell>
          <cell r="B809" t="str">
            <v>txc</v>
          </cell>
        </row>
        <row r="810">
          <cell r="A810" t="str">
            <v>txc-</v>
          </cell>
          <cell r="B810" t="str">
            <v>txc</v>
          </cell>
        </row>
        <row r="811">
          <cell r="A811" t="str">
            <v>txc-</v>
          </cell>
          <cell r="B811" t="str">
            <v>txc</v>
          </cell>
        </row>
        <row r="812">
          <cell r="A812" t="str">
            <v>txc-</v>
          </cell>
          <cell r="B812" t="str">
            <v>txc</v>
          </cell>
        </row>
        <row r="813">
          <cell r="A813" t="str">
            <v>txc-</v>
          </cell>
          <cell r="B813" t="str">
            <v>txc</v>
          </cell>
        </row>
        <row r="814">
          <cell r="A814" t="str">
            <v>txc-</v>
          </cell>
          <cell r="B814" t="str">
            <v>txc</v>
          </cell>
        </row>
        <row r="815">
          <cell r="A815" t="str">
            <v>txc-</v>
          </cell>
          <cell r="B815" t="str">
            <v>txc</v>
          </cell>
        </row>
        <row r="816">
          <cell r="A816" t="str">
            <v>txc-</v>
          </cell>
          <cell r="B816" t="str">
            <v>txc</v>
          </cell>
        </row>
        <row r="817">
          <cell r="A817" t="str">
            <v>txc-</v>
          </cell>
          <cell r="B817" t="str">
            <v>txc</v>
          </cell>
        </row>
        <row r="818">
          <cell r="A818" t="str">
            <v>txc-</v>
          </cell>
          <cell r="B818" t="str">
            <v>txc</v>
          </cell>
        </row>
        <row r="819">
          <cell r="A819" t="str">
            <v>txc-</v>
          </cell>
          <cell r="B819" t="str">
            <v>txc</v>
          </cell>
        </row>
        <row r="820">
          <cell r="A820" t="str">
            <v>txc-</v>
          </cell>
          <cell r="B820" t="str">
            <v>txc</v>
          </cell>
        </row>
        <row r="821">
          <cell r="A821" t="str">
            <v>txc-</v>
          </cell>
          <cell r="B821" t="str">
            <v>txc</v>
          </cell>
        </row>
        <row r="822">
          <cell r="A822" t="str">
            <v>txc-</v>
          </cell>
          <cell r="B822" t="str">
            <v>txc</v>
          </cell>
        </row>
        <row r="823">
          <cell r="A823" t="str">
            <v>txc-</v>
          </cell>
          <cell r="B823" t="str">
            <v>txc</v>
          </cell>
        </row>
        <row r="824">
          <cell r="A824" t="str">
            <v>txc-</v>
          </cell>
          <cell r="B824" t="str">
            <v>txc</v>
          </cell>
        </row>
        <row r="825">
          <cell r="A825" t="str">
            <v>txc-</v>
          </cell>
          <cell r="B825" t="str">
            <v>txc</v>
          </cell>
        </row>
        <row r="826">
          <cell r="A826" t="str">
            <v>txc-</v>
          </cell>
          <cell r="B826" t="str">
            <v>txc</v>
          </cell>
        </row>
        <row r="827">
          <cell r="A827" t="str">
            <v>txc-</v>
          </cell>
          <cell r="B827" t="str">
            <v>txc</v>
          </cell>
        </row>
        <row r="828">
          <cell r="A828" t="str">
            <v>txc-</v>
          </cell>
          <cell r="B828" t="str">
            <v>txc</v>
          </cell>
        </row>
        <row r="829">
          <cell r="A829" t="str">
            <v>txc-</v>
          </cell>
          <cell r="B829" t="str">
            <v>txc</v>
          </cell>
        </row>
        <row r="830">
          <cell r="A830" t="str">
            <v>txc-</v>
          </cell>
          <cell r="B830" t="str">
            <v>txc</v>
          </cell>
        </row>
        <row r="831">
          <cell r="A831" t="str">
            <v>txc-</v>
          </cell>
          <cell r="B831" t="str">
            <v>txc</v>
          </cell>
        </row>
        <row r="832">
          <cell r="A832" t="str">
            <v>txc-</v>
          </cell>
          <cell r="B832" t="str">
            <v>txc</v>
          </cell>
        </row>
        <row r="833">
          <cell r="A833" t="str">
            <v>txc-</v>
          </cell>
          <cell r="B833" t="str">
            <v>txc</v>
          </cell>
        </row>
        <row r="834">
          <cell r="A834" t="str">
            <v>txc-</v>
          </cell>
          <cell r="B834" t="str">
            <v>txc</v>
          </cell>
        </row>
        <row r="835">
          <cell r="A835" t="str">
            <v>txc-</v>
          </cell>
          <cell r="B835" t="str">
            <v>txc</v>
          </cell>
        </row>
        <row r="836">
          <cell r="A836" t="str">
            <v>txc-</v>
          </cell>
          <cell r="B836" t="str">
            <v>txc</v>
          </cell>
        </row>
        <row r="837">
          <cell r="A837" t="str">
            <v>txc-</v>
          </cell>
          <cell r="B837" t="str">
            <v>txc</v>
          </cell>
        </row>
        <row r="838">
          <cell r="A838" t="str">
            <v>txc-</v>
          </cell>
          <cell r="B838" t="str">
            <v>txc</v>
          </cell>
        </row>
        <row r="839">
          <cell r="A839" t="str">
            <v>txc-</v>
          </cell>
          <cell r="B839" t="str">
            <v>txc</v>
          </cell>
        </row>
        <row r="840">
          <cell r="A840" t="str">
            <v>txc-</v>
          </cell>
          <cell r="B840" t="str">
            <v>txc</v>
          </cell>
        </row>
        <row r="841">
          <cell r="A841" t="str">
            <v>txc-</v>
          </cell>
          <cell r="B841" t="str">
            <v>txc</v>
          </cell>
        </row>
        <row r="842">
          <cell r="A842" t="str">
            <v>txc-</v>
          </cell>
          <cell r="B842" t="str">
            <v>txc</v>
          </cell>
        </row>
        <row r="843">
          <cell r="A843" t="str">
            <v>txc-</v>
          </cell>
          <cell r="B843" t="str">
            <v>txc</v>
          </cell>
        </row>
        <row r="844">
          <cell r="A844" t="str">
            <v>txc-</v>
          </cell>
          <cell r="B844" t="str">
            <v>txc</v>
          </cell>
        </row>
        <row r="845">
          <cell r="A845" t="str">
            <v>txc-</v>
          </cell>
          <cell r="B845" t="str">
            <v>txc</v>
          </cell>
        </row>
        <row r="846">
          <cell r="A846" t="str">
            <v>txc-</v>
          </cell>
          <cell r="B846" t="str">
            <v>txc</v>
          </cell>
        </row>
        <row r="847">
          <cell r="A847" t="str">
            <v>txc-</v>
          </cell>
          <cell r="B847" t="str">
            <v>txc</v>
          </cell>
        </row>
        <row r="848">
          <cell r="A848" t="str">
            <v>txc-</v>
          </cell>
          <cell r="B848" t="str">
            <v>txc</v>
          </cell>
        </row>
        <row r="849">
          <cell r="A849" t="str">
            <v>txc-</v>
          </cell>
          <cell r="B849" t="str">
            <v>txc</v>
          </cell>
        </row>
        <row r="850">
          <cell r="A850" t="str">
            <v>txc-</v>
          </cell>
          <cell r="B850" t="str">
            <v>txc</v>
          </cell>
        </row>
        <row r="851">
          <cell r="A851" t="str">
            <v>txc-</v>
          </cell>
          <cell r="B851" t="str">
            <v>txc</v>
          </cell>
        </row>
        <row r="852">
          <cell r="A852" t="str">
            <v>txc-</v>
          </cell>
          <cell r="B852" t="str">
            <v>txc</v>
          </cell>
        </row>
        <row r="853">
          <cell r="A853" t="str">
            <v>txc-</v>
          </cell>
          <cell r="B853" t="str">
            <v>txc</v>
          </cell>
        </row>
        <row r="854">
          <cell r="A854" t="str">
            <v>txc-</v>
          </cell>
          <cell r="B854" t="str">
            <v>txc</v>
          </cell>
        </row>
        <row r="855">
          <cell r="A855" t="str">
            <v>txc-</v>
          </cell>
          <cell r="B855" t="str">
            <v>txc</v>
          </cell>
        </row>
        <row r="856">
          <cell r="A856" t="str">
            <v>txc-</v>
          </cell>
          <cell r="B856" t="str">
            <v>txc</v>
          </cell>
        </row>
        <row r="857">
          <cell r="A857" t="str">
            <v>txc-</v>
          </cell>
          <cell r="B857" t="str">
            <v>txc</v>
          </cell>
        </row>
        <row r="858">
          <cell r="A858" t="str">
            <v>txc-</v>
          </cell>
          <cell r="B858" t="str">
            <v>txc</v>
          </cell>
        </row>
        <row r="859">
          <cell r="A859" t="str">
            <v>txc-</v>
          </cell>
          <cell r="B859" t="str">
            <v>txc</v>
          </cell>
        </row>
        <row r="860">
          <cell r="A860" t="str">
            <v>txc-</v>
          </cell>
          <cell r="B860" t="str">
            <v>txc</v>
          </cell>
        </row>
        <row r="861">
          <cell r="A861" t="str">
            <v>txc-</v>
          </cell>
          <cell r="B861" t="str">
            <v>txc</v>
          </cell>
        </row>
        <row r="862">
          <cell r="A862" t="str">
            <v>txc-</v>
          </cell>
          <cell r="B862" t="str">
            <v>txc</v>
          </cell>
        </row>
        <row r="863">
          <cell r="A863" t="str">
            <v>txc-</v>
          </cell>
          <cell r="B863" t="str">
            <v>txc</v>
          </cell>
        </row>
        <row r="864">
          <cell r="A864" t="str">
            <v>txc-</v>
          </cell>
          <cell r="B864" t="str">
            <v>txc</v>
          </cell>
        </row>
        <row r="865">
          <cell r="A865" t="str">
            <v>txc-</v>
          </cell>
          <cell r="B865" t="str">
            <v>txc</v>
          </cell>
        </row>
        <row r="866">
          <cell r="A866" t="str">
            <v>txc-</v>
          </cell>
          <cell r="B866" t="str">
            <v>txc</v>
          </cell>
        </row>
        <row r="867">
          <cell r="A867" t="str">
            <v>txc-</v>
          </cell>
          <cell r="B867" t="str">
            <v>txc</v>
          </cell>
        </row>
        <row r="868">
          <cell r="A868" t="str">
            <v>txc-</v>
          </cell>
          <cell r="B868" t="str">
            <v>txc</v>
          </cell>
        </row>
        <row r="869">
          <cell r="A869" t="str">
            <v>txc-</v>
          </cell>
          <cell r="B869" t="str">
            <v>txc</v>
          </cell>
        </row>
        <row r="870">
          <cell r="A870" t="str">
            <v>txc-</v>
          </cell>
          <cell r="B870" t="str">
            <v>txc</v>
          </cell>
        </row>
        <row r="871">
          <cell r="A871" t="str">
            <v>txc-</v>
          </cell>
          <cell r="B871" t="str">
            <v>txc</v>
          </cell>
        </row>
        <row r="872">
          <cell r="A872" t="str">
            <v>txc-</v>
          </cell>
          <cell r="B872" t="str">
            <v>txc</v>
          </cell>
        </row>
        <row r="873">
          <cell r="A873" t="str">
            <v>txc-</v>
          </cell>
          <cell r="B873" t="str">
            <v>txc</v>
          </cell>
        </row>
        <row r="874">
          <cell r="A874" t="str">
            <v>txc-</v>
          </cell>
          <cell r="B874" t="str">
            <v>txc</v>
          </cell>
        </row>
        <row r="875">
          <cell r="A875" t="str">
            <v>txc-</v>
          </cell>
          <cell r="B875" t="str">
            <v>txc</v>
          </cell>
        </row>
        <row r="876">
          <cell r="A876" t="str">
            <v>txc-</v>
          </cell>
          <cell r="B876" t="str">
            <v>txc</v>
          </cell>
        </row>
        <row r="877">
          <cell r="A877" t="str">
            <v>txc-</v>
          </cell>
          <cell r="B877" t="str">
            <v>txc</v>
          </cell>
        </row>
        <row r="878">
          <cell r="A878" t="str">
            <v>txc-</v>
          </cell>
          <cell r="B878" t="str">
            <v>txc</v>
          </cell>
        </row>
        <row r="879">
          <cell r="A879" t="str">
            <v>txc-</v>
          </cell>
          <cell r="B879" t="str">
            <v>txc</v>
          </cell>
        </row>
        <row r="880">
          <cell r="A880" t="str">
            <v>txc-</v>
          </cell>
          <cell r="B880" t="str">
            <v>txc</v>
          </cell>
        </row>
        <row r="881">
          <cell r="A881" t="str">
            <v>txc-</v>
          </cell>
          <cell r="B881" t="str">
            <v>txc</v>
          </cell>
        </row>
        <row r="882">
          <cell r="A882" t="str">
            <v>txc-</v>
          </cell>
          <cell r="B882" t="str">
            <v>txc</v>
          </cell>
        </row>
        <row r="883">
          <cell r="A883" t="str">
            <v>txc-</v>
          </cell>
          <cell r="B883" t="str">
            <v>txc</v>
          </cell>
        </row>
        <row r="884">
          <cell r="A884" t="str">
            <v>txc-</v>
          </cell>
          <cell r="B884" t="str">
            <v>txc</v>
          </cell>
        </row>
        <row r="885">
          <cell r="A885" t="str">
            <v>txc-</v>
          </cell>
          <cell r="B885" t="str">
            <v>txc</v>
          </cell>
        </row>
        <row r="886">
          <cell r="A886" t="str">
            <v>txc-</v>
          </cell>
          <cell r="B886" t="str">
            <v>txc</v>
          </cell>
        </row>
        <row r="887">
          <cell r="A887" t="str">
            <v>txc-</v>
          </cell>
          <cell r="B887" t="str">
            <v>txc</v>
          </cell>
        </row>
        <row r="888">
          <cell r="A888" t="str">
            <v>txc-</v>
          </cell>
          <cell r="B888" t="str">
            <v>txc</v>
          </cell>
        </row>
        <row r="889">
          <cell r="A889" t="str">
            <v>txc-</v>
          </cell>
          <cell r="B889" t="str">
            <v>txc</v>
          </cell>
        </row>
        <row r="890">
          <cell r="A890" t="str">
            <v>txc-</v>
          </cell>
          <cell r="B890" t="str">
            <v>txc</v>
          </cell>
        </row>
        <row r="891">
          <cell r="A891" t="str">
            <v>txc-</v>
          </cell>
          <cell r="B891" t="str">
            <v>txc</v>
          </cell>
        </row>
        <row r="892">
          <cell r="A892" t="str">
            <v>txc-</v>
          </cell>
          <cell r="B892" t="str">
            <v>txc</v>
          </cell>
        </row>
        <row r="893">
          <cell r="A893" t="str">
            <v>txc-</v>
          </cell>
          <cell r="B893" t="str">
            <v>txc</v>
          </cell>
        </row>
        <row r="894">
          <cell r="A894" t="str">
            <v>txc-</v>
          </cell>
          <cell r="B894" t="str">
            <v>txc</v>
          </cell>
        </row>
        <row r="895">
          <cell r="A895" t="str">
            <v>txc-</v>
          </cell>
          <cell r="B895" t="str">
            <v>txc</v>
          </cell>
        </row>
        <row r="896">
          <cell r="A896" t="str">
            <v>txc-</v>
          </cell>
          <cell r="B896" t="str">
            <v>txc</v>
          </cell>
        </row>
        <row r="897">
          <cell r="A897" t="str">
            <v>txc-</v>
          </cell>
          <cell r="B897" t="str">
            <v>txc</v>
          </cell>
        </row>
        <row r="898">
          <cell r="A898" t="str">
            <v>txc-</v>
          </cell>
          <cell r="B898" t="str">
            <v>txc</v>
          </cell>
        </row>
        <row r="899">
          <cell r="A899" t="str">
            <v>txc-</v>
          </cell>
          <cell r="B899" t="str">
            <v>txc</v>
          </cell>
        </row>
        <row r="900">
          <cell r="A900" t="str">
            <v>txc-</v>
          </cell>
          <cell r="B900" t="str">
            <v>txc</v>
          </cell>
        </row>
        <row r="901">
          <cell r="A901" t="str">
            <v>txc-</v>
          </cell>
          <cell r="B901" t="str">
            <v>txc</v>
          </cell>
        </row>
        <row r="902">
          <cell r="A902" t="str">
            <v>txc-</v>
          </cell>
          <cell r="B902" t="str">
            <v>txc</v>
          </cell>
        </row>
        <row r="903">
          <cell r="A903" t="str">
            <v>txc-</v>
          </cell>
          <cell r="B903" t="str">
            <v>txc</v>
          </cell>
        </row>
        <row r="904">
          <cell r="A904" t="str">
            <v>txc-</v>
          </cell>
          <cell r="B904" t="str">
            <v>txc</v>
          </cell>
        </row>
        <row r="905">
          <cell r="A905" t="str">
            <v>txc-</v>
          </cell>
          <cell r="B905" t="str">
            <v>txc</v>
          </cell>
        </row>
        <row r="906">
          <cell r="A906" t="str">
            <v>txc-</v>
          </cell>
          <cell r="B906" t="str">
            <v>txc</v>
          </cell>
        </row>
        <row r="907">
          <cell r="A907" t="str">
            <v>txc-</v>
          </cell>
          <cell r="B907" t="str">
            <v>txc</v>
          </cell>
        </row>
        <row r="908">
          <cell r="A908" t="str">
            <v>txc-</v>
          </cell>
          <cell r="B908" t="str">
            <v>txc</v>
          </cell>
        </row>
        <row r="909">
          <cell r="A909" t="str">
            <v>txc-</v>
          </cell>
          <cell r="B909" t="str">
            <v>txc</v>
          </cell>
        </row>
        <row r="910">
          <cell r="A910" t="str">
            <v>txc-</v>
          </cell>
          <cell r="B910" t="str">
            <v>txc</v>
          </cell>
        </row>
        <row r="911">
          <cell r="A911" t="str">
            <v>txc-</v>
          </cell>
          <cell r="B911" t="str">
            <v>txc</v>
          </cell>
        </row>
        <row r="912">
          <cell r="A912" t="str">
            <v>txc-</v>
          </cell>
          <cell r="B912" t="str">
            <v>txc</v>
          </cell>
        </row>
        <row r="913">
          <cell r="A913" t="str">
            <v>txc-</v>
          </cell>
          <cell r="B913" t="str">
            <v>txc</v>
          </cell>
        </row>
        <row r="914">
          <cell r="A914" t="str">
            <v>txc-</v>
          </cell>
          <cell r="B914" t="str">
            <v>txc</v>
          </cell>
        </row>
        <row r="915">
          <cell r="A915" t="str">
            <v>txc-</v>
          </cell>
          <cell r="B915" t="str">
            <v>txc</v>
          </cell>
        </row>
        <row r="916">
          <cell r="A916" t="str">
            <v>txc-</v>
          </cell>
          <cell r="B916" t="str">
            <v>txc</v>
          </cell>
        </row>
        <row r="917">
          <cell r="A917" t="str">
            <v>txc-</v>
          </cell>
          <cell r="B917" t="str">
            <v>txc</v>
          </cell>
        </row>
        <row r="918">
          <cell r="A918" t="str">
            <v>txc-</v>
          </cell>
          <cell r="B918" t="str">
            <v>txc</v>
          </cell>
        </row>
        <row r="919">
          <cell r="A919" t="str">
            <v>txc-</v>
          </cell>
          <cell r="B919" t="str">
            <v>txc</v>
          </cell>
        </row>
        <row r="920">
          <cell r="A920" t="str">
            <v>txc-</v>
          </cell>
          <cell r="B920" t="str">
            <v>txc</v>
          </cell>
        </row>
        <row r="921">
          <cell r="A921" t="str">
            <v>txc-</v>
          </cell>
          <cell r="B921" t="str">
            <v>txc</v>
          </cell>
        </row>
        <row r="922">
          <cell r="A922" t="str">
            <v>txc-</v>
          </cell>
          <cell r="B922" t="str">
            <v>txc</v>
          </cell>
        </row>
        <row r="923">
          <cell r="A923" t="str">
            <v>txc-</v>
          </cell>
          <cell r="B923" t="str">
            <v>txc</v>
          </cell>
        </row>
        <row r="924">
          <cell r="A924" t="str">
            <v>txc-</v>
          </cell>
          <cell r="B924" t="str">
            <v>txc</v>
          </cell>
        </row>
        <row r="925">
          <cell r="A925" t="str">
            <v>txc-</v>
          </cell>
          <cell r="B925" t="str">
            <v>txc</v>
          </cell>
        </row>
        <row r="926">
          <cell r="A926" t="str">
            <v>txc-</v>
          </cell>
          <cell r="B926" t="str">
            <v>txc</v>
          </cell>
        </row>
        <row r="927">
          <cell r="A927" t="str">
            <v>txc-</v>
          </cell>
          <cell r="B927" t="str">
            <v>txc</v>
          </cell>
        </row>
        <row r="928">
          <cell r="A928" t="str">
            <v>txc-</v>
          </cell>
          <cell r="B928" t="str">
            <v>txc</v>
          </cell>
        </row>
        <row r="929">
          <cell r="A929" t="str">
            <v>txc-</v>
          </cell>
          <cell r="B929" t="str">
            <v>txc</v>
          </cell>
        </row>
        <row r="930">
          <cell r="A930" t="str">
            <v>txc-</v>
          </cell>
          <cell r="B930" t="str">
            <v>txc</v>
          </cell>
        </row>
        <row r="931">
          <cell r="A931" t="str">
            <v>txc-</v>
          </cell>
          <cell r="B931" t="str">
            <v>txc</v>
          </cell>
        </row>
        <row r="932">
          <cell r="A932" t="str">
            <v>txc-</v>
          </cell>
          <cell r="B932" t="str">
            <v>txc</v>
          </cell>
        </row>
        <row r="933">
          <cell r="A933" t="str">
            <v>txc-</v>
          </cell>
          <cell r="B933" t="str">
            <v>txc</v>
          </cell>
        </row>
        <row r="934">
          <cell r="A934" t="str">
            <v>txc-</v>
          </cell>
          <cell r="B934" t="str">
            <v>txc</v>
          </cell>
        </row>
        <row r="935">
          <cell r="A935" t="str">
            <v>txc-</v>
          </cell>
          <cell r="B935" t="str">
            <v>txc</v>
          </cell>
        </row>
        <row r="936">
          <cell r="A936" t="str">
            <v>txc-</v>
          </cell>
          <cell r="B936" t="str">
            <v>txc</v>
          </cell>
        </row>
        <row r="937">
          <cell r="A937" t="str">
            <v>txc-</v>
          </cell>
          <cell r="B937" t="str">
            <v>txc</v>
          </cell>
        </row>
        <row r="938">
          <cell r="A938" t="str">
            <v>txc-</v>
          </cell>
          <cell r="B938" t="str">
            <v>txc</v>
          </cell>
        </row>
        <row r="939">
          <cell r="A939" t="str">
            <v>txc-</v>
          </cell>
          <cell r="B939" t="str">
            <v>txc</v>
          </cell>
        </row>
        <row r="940">
          <cell r="A940" t="str">
            <v>txc-</v>
          </cell>
          <cell r="B940" t="str">
            <v>txc</v>
          </cell>
        </row>
        <row r="941">
          <cell r="A941" t="str">
            <v>txc-</v>
          </cell>
          <cell r="B941" t="str">
            <v>txc</v>
          </cell>
        </row>
        <row r="942">
          <cell r="A942" t="str">
            <v>txc-</v>
          </cell>
          <cell r="B942" t="str">
            <v>txc</v>
          </cell>
        </row>
        <row r="943">
          <cell r="A943" t="str">
            <v>txc-</v>
          </cell>
          <cell r="B943" t="str">
            <v>txc</v>
          </cell>
        </row>
        <row r="944">
          <cell r="A944" t="str">
            <v>txc-</v>
          </cell>
          <cell r="B944" t="str">
            <v>txc</v>
          </cell>
        </row>
        <row r="945">
          <cell r="A945" t="str">
            <v>txc-</v>
          </cell>
          <cell r="B945" t="str">
            <v>txc</v>
          </cell>
        </row>
        <row r="946">
          <cell r="A946" t="str">
            <v>txc-</v>
          </cell>
          <cell r="B946" t="str">
            <v>txc</v>
          </cell>
        </row>
        <row r="947">
          <cell r="A947" t="str">
            <v>txc-</v>
          </cell>
          <cell r="B947" t="str">
            <v>txc</v>
          </cell>
        </row>
        <row r="948">
          <cell r="A948" t="str">
            <v>txc-</v>
          </cell>
          <cell r="B948" t="str">
            <v>txc</v>
          </cell>
        </row>
        <row r="949">
          <cell r="A949" t="str">
            <v>txc-</v>
          </cell>
          <cell r="B949" t="str">
            <v>txc</v>
          </cell>
        </row>
        <row r="950">
          <cell r="A950" t="str">
            <v>txc-</v>
          </cell>
          <cell r="B950" t="str">
            <v>txc</v>
          </cell>
        </row>
        <row r="951">
          <cell r="A951" t="str">
            <v>txc-</v>
          </cell>
          <cell r="B951" t="str">
            <v>txc</v>
          </cell>
        </row>
        <row r="952">
          <cell r="A952" t="str">
            <v>txc-</v>
          </cell>
          <cell r="B952" t="str">
            <v>txc</v>
          </cell>
        </row>
        <row r="953">
          <cell r="A953" t="str">
            <v>txc-</v>
          </cell>
          <cell r="B953" t="str">
            <v>txc</v>
          </cell>
        </row>
        <row r="954">
          <cell r="A954" t="str">
            <v>txc-</v>
          </cell>
          <cell r="B954" t="str">
            <v>txc</v>
          </cell>
        </row>
        <row r="955">
          <cell r="A955" t="str">
            <v>txc-</v>
          </cell>
          <cell r="B955" t="str">
            <v>txc</v>
          </cell>
        </row>
        <row r="956">
          <cell r="A956" t="str">
            <v>txc-</v>
          </cell>
          <cell r="B956" t="str">
            <v>txc</v>
          </cell>
        </row>
        <row r="957">
          <cell r="A957" t="str">
            <v>txc-</v>
          </cell>
          <cell r="B957" t="str">
            <v>txc</v>
          </cell>
        </row>
        <row r="958">
          <cell r="A958" t="str">
            <v>txc-</v>
          </cell>
          <cell r="B958" t="str">
            <v>txc</v>
          </cell>
        </row>
        <row r="959">
          <cell r="A959" t="str">
            <v>txc-</v>
          </cell>
          <cell r="B959" t="str">
            <v>txc</v>
          </cell>
        </row>
        <row r="960">
          <cell r="A960" t="str">
            <v>txc-</v>
          </cell>
          <cell r="B960" t="str">
            <v>txc</v>
          </cell>
        </row>
        <row r="961">
          <cell r="A961" t="str">
            <v>txc-</v>
          </cell>
          <cell r="B961" t="str">
            <v>txc</v>
          </cell>
        </row>
        <row r="962">
          <cell r="A962" t="str">
            <v>txc-</v>
          </cell>
          <cell r="B962" t="str">
            <v>txc</v>
          </cell>
        </row>
        <row r="963">
          <cell r="A963" t="str">
            <v>txc-</v>
          </cell>
          <cell r="B963" t="str">
            <v>txc</v>
          </cell>
        </row>
        <row r="964">
          <cell r="A964" t="str">
            <v>txc-</v>
          </cell>
          <cell r="B964" t="str">
            <v>txc</v>
          </cell>
        </row>
        <row r="965">
          <cell r="A965" t="str">
            <v>txc-</v>
          </cell>
          <cell r="B965" t="str">
            <v>txc</v>
          </cell>
        </row>
        <row r="966">
          <cell r="A966" t="str">
            <v>txc-</v>
          </cell>
          <cell r="B966" t="str">
            <v>txc</v>
          </cell>
        </row>
        <row r="967">
          <cell r="A967" t="str">
            <v>txc-</v>
          </cell>
          <cell r="B967" t="str">
            <v>txc</v>
          </cell>
        </row>
        <row r="968">
          <cell r="A968" t="str">
            <v>txc-</v>
          </cell>
          <cell r="B968" t="str">
            <v>txc</v>
          </cell>
        </row>
        <row r="969">
          <cell r="A969" t="str">
            <v>txc-</v>
          </cell>
          <cell r="B969" t="str">
            <v>txc</v>
          </cell>
        </row>
        <row r="970">
          <cell r="A970" t="str">
            <v>txc-</v>
          </cell>
          <cell r="B970" t="str">
            <v>txc</v>
          </cell>
        </row>
        <row r="971">
          <cell r="A971" t="str">
            <v>txc-</v>
          </cell>
          <cell r="B971" t="str">
            <v>txc</v>
          </cell>
        </row>
        <row r="972">
          <cell r="A972" t="str">
            <v>txc-</v>
          </cell>
          <cell r="B972" t="str">
            <v>txc</v>
          </cell>
        </row>
        <row r="973">
          <cell r="A973" t="str">
            <v>txc-</v>
          </cell>
          <cell r="B973" t="str">
            <v>txc</v>
          </cell>
        </row>
        <row r="974">
          <cell r="A974" t="str">
            <v>txc-</v>
          </cell>
          <cell r="B974" t="str">
            <v>txc</v>
          </cell>
        </row>
        <row r="975">
          <cell r="A975" t="str">
            <v>txc-</v>
          </cell>
          <cell r="B975" t="str">
            <v>txc</v>
          </cell>
        </row>
        <row r="976">
          <cell r="A976" t="str">
            <v>txc-</v>
          </cell>
          <cell r="B976" t="str">
            <v>txc</v>
          </cell>
        </row>
        <row r="977">
          <cell r="A977" t="str">
            <v>txc-</v>
          </cell>
          <cell r="B977" t="str">
            <v>txc</v>
          </cell>
        </row>
        <row r="978">
          <cell r="A978" t="str">
            <v>txc-</v>
          </cell>
          <cell r="B978" t="str">
            <v>txc</v>
          </cell>
        </row>
        <row r="979">
          <cell r="A979" t="str">
            <v>txc-</v>
          </cell>
          <cell r="B979" t="str">
            <v>txc</v>
          </cell>
        </row>
        <row r="980">
          <cell r="A980" t="str">
            <v>txc-</v>
          </cell>
          <cell r="B980" t="str">
            <v>txc</v>
          </cell>
        </row>
        <row r="981">
          <cell r="A981" t="str">
            <v>txc-</v>
          </cell>
          <cell r="B981" t="str">
            <v>txc</v>
          </cell>
        </row>
        <row r="982">
          <cell r="A982" t="str">
            <v>txc-</v>
          </cell>
          <cell r="B982" t="str">
            <v>txc</v>
          </cell>
        </row>
        <row r="983">
          <cell r="A983" t="str">
            <v>txc-</v>
          </cell>
          <cell r="B983" t="str">
            <v>txc</v>
          </cell>
        </row>
        <row r="984">
          <cell r="A984" t="str">
            <v>txc-</v>
          </cell>
          <cell r="B984" t="str">
            <v>txc</v>
          </cell>
        </row>
        <row r="985">
          <cell r="A985" t="str">
            <v>txc-</v>
          </cell>
          <cell r="B985" t="str">
            <v>txc</v>
          </cell>
        </row>
        <row r="986">
          <cell r="A986" t="str">
            <v>txc-</v>
          </cell>
          <cell r="B986" t="str">
            <v>txc</v>
          </cell>
        </row>
        <row r="987">
          <cell r="A987" t="str">
            <v>txc-</v>
          </cell>
          <cell r="B987" t="str">
            <v>txc</v>
          </cell>
        </row>
        <row r="988">
          <cell r="A988" t="str">
            <v>txc-</v>
          </cell>
          <cell r="B988" t="str">
            <v>txc</v>
          </cell>
        </row>
        <row r="989">
          <cell r="A989" t="str">
            <v>txc-</v>
          </cell>
          <cell r="B989" t="str">
            <v>txc</v>
          </cell>
        </row>
        <row r="990">
          <cell r="A990" t="str">
            <v>txc-</v>
          </cell>
          <cell r="B990" t="str">
            <v>txc</v>
          </cell>
        </row>
        <row r="991">
          <cell r="A991" t="str">
            <v>txc-</v>
          </cell>
          <cell r="B991" t="str">
            <v>txc</v>
          </cell>
        </row>
        <row r="992">
          <cell r="A992" t="str">
            <v>txc-</v>
          </cell>
          <cell r="B992" t="str">
            <v>txc</v>
          </cell>
        </row>
        <row r="993">
          <cell r="A993" t="str">
            <v>txc-</v>
          </cell>
          <cell r="B993" t="str">
            <v>txc</v>
          </cell>
        </row>
        <row r="994">
          <cell r="A994" t="str">
            <v>txc-</v>
          </cell>
          <cell r="B994" t="str">
            <v>txc</v>
          </cell>
        </row>
        <row r="995">
          <cell r="A995" t="str">
            <v>txc-</v>
          </cell>
          <cell r="B995" t="str">
            <v>txc</v>
          </cell>
        </row>
        <row r="996">
          <cell r="A996" t="str">
            <v>txc-</v>
          </cell>
          <cell r="B996" t="str">
            <v>txc</v>
          </cell>
        </row>
        <row r="997">
          <cell r="A997" t="str">
            <v>txc-</v>
          </cell>
          <cell r="B997" t="str">
            <v>txc</v>
          </cell>
        </row>
        <row r="998">
          <cell r="A998" t="str">
            <v>txc-</v>
          </cell>
          <cell r="B998" t="str">
            <v>txc</v>
          </cell>
        </row>
        <row r="999">
          <cell r="A999" t="str">
            <v>txc-</v>
          </cell>
          <cell r="B999" t="str">
            <v>txc</v>
          </cell>
        </row>
        <row r="1000">
          <cell r="A1000" t="str">
            <v>txc-</v>
          </cell>
          <cell r="B1000" t="str">
            <v>txc</v>
          </cell>
        </row>
        <row r="1001">
          <cell r="A1001" t="str">
            <v>txc-</v>
          </cell>
          <cell r="B1001" t="str">
            <v>txc</v>
          </cell>
        </row>
        <row r="1002">
          <cell r="A1002" t="str">
            <v>txc-</v>
          </cell>
          <cell r="B1002" t="str">
            <v>txc</v>
          </cell>
        </row>
        <row r="1003">
          <cell r="A1003" t="str">
            <v>txc-</v>
          </cell>
          <cell r="B1003" t="str">
            <v>txc</v>
          </cell>
        </row>
        <row r="1004">
          <cell r="A1004" t="str">
            <v>txc-</v>
          </cell>
          <cell r="B1004" t="str">
            <v>txc</v>
          </cell>
        </row>
        <row r="1005">
          <cell r="A1005" t="str">
            <v>txc-</v>
          </cell>
          <cell r="B1005" t="str">
            <v>txc</v>
          </cell>
        </row>
        <row r="1006">
          <cell r="A1006" t="str">
            <v>txc-</v>
          </cell>
          <cell r="B1006" t="str">
            <v>txc</v>
          </cell>
        </row>
        <row r="1007">
          <cell r="A1007" t="str">
            <v>txc-</v>
          </cell>
          <cell r="B1007" t="str">
            <v>txc</v>
          </cell>
        </row>
        <row r="1008">
          <cell r="A1008" t="str">
            <v>txc-</v>
          </cell>
          <cell r="B1008" t="str">
            <v>txc</v>
          </cell>
        </row>
        <row r="1009">
          <cell r="A1009" t="str">
            <v>txc-</v>
          </cell>
          <cell r="B1009" t="str">
            <v>txc</v>
          </cell>
        </row>
        <row r="1010">
          <cell r="A1010" t="str">
            <v>txc-</v>
          </cell>
          <cell r="B1010" t="str">
            <v>txc</v>
          </cell>
        </row>
        <row r="1011">
          <cell r="A1011" t="str">
            <v>txc-</v>
          </cell>
          <cell r="B1011" t="str">
            <v>txc</v>
          </cell>
        </row>
        <row r="1012">
          <cell r="A1012" t="str">
            <v>txc-</v>
          </cell>
          <cell r="B1012" t="str">
            <v>txc</v>
          </cell>
        </row>
        <row r="1013">
          <cell r="A1013" t="str">
            <v>txc-</v>
          </cell>
          <cell r="B1013" t="str">
            <v>txc</v>
          </cell>
        </row>
        <row r="1014">
          <cell r="A1014" t="str">
            <v>txc-</v>
          </cell>
          <cell r="B1014" t="str">
            <v>txc</v>
          </cell>
        </row>
        <row r="1015">
          <cell r="A1015" t="str">
            <v>txc-</v>
          </cell>
          <cell r="B1015" t="str">
            <v>txc</v>
          </cell>
        </row>
        <row r="1016">
          <cell r="A1016" t="str">
            <v>txc-</v>
          </cell>
          <cell r="B1016" t="str">
            <v>txc</v>
          </cell>
        </row>
        <row r="1017">
          <cell r="A1017" t="str">
            <v>txc-</v>
          </cell>
          <cell r="B1017" t="str">
            <v>txc</v>
          </cell>
        </row>
        <row r="1018">
          <cell r="A1018" t="str">
            <v>txc-</v>
          </cell>
          <cell r="B1018" t="str">
            <v>txc</v>
          </cell>
        </row>
        <row r="1019">
          <cell r="A1019" t="str">
            <v>txc-</v>
          </cell>
          <cell r="B1019" t="str">
            <v>txc</v>
          </cell>
        </row>
        <row r="1020">
          <cell r="A1020" t="str">
            <v>txc-</v>
          </cell>
          <cell r="B1020" t="str">
            <v>txc</v>
          </cell>
        </row>
        <row r="1021">
          <cell r="A1021" t="str">
            <v>txc-</v>
          </cell>
          <cell r="B1021" t="str">
            <v>txc</v>
          </cell>
        </row>
        <row r="1022">
          <cell r="A1022" t="str">
            <v>txc-</v>
          </cell>
          <cell r="B1022" t="str">
            <v>txc</v>
          </cell>
        </row>
        <row r="1023">
          <cell r="A1023" t="str">
            <v>txc-</v>
          </cell>
          <cell r="B1023" t="str">
            <v>txc</v>
          </cell>
        </row>
        <row r="1024">
          <cell r="A1024" t="str">
            <v>txc-</v>
          </cell>
          <cell r="B1024" t="str">
            <v>txc</v>
          </cell>
        </row>
        <row r="1025">
          <cell r="A1025" t="str">
            <v>txc-</v>
          </cell>
          <cell r="B1025" t="str">
            <v>txc</v>
          </cell>
        </row>
        <row r="1026">
          <cell r="A1026" t="str">
            <v>txc-</v>
          </cell>
          <cell r="B1026" t="str">
            <v>txc</v>
          </cell>
        </row>
        <row r="1027">
          <cell r="A1027" t="str">
            <v>txc-</v>
          </cell>
          <cell r="B1027" t="str">
            <v>txc</v>
          </cell>
        </row>
        <row r="1028">
          <cell r="A1028" t="str">
            <v>txc-</v>
          </cell>
          <cell r="B1028" t="str">
            <v>txc</v>
          </cell>
        </row>
        <row r="1029">
          <cell r="A1029" t="str">
            <v>txc-</v>
          </cell>
          <cell r="B1029" t="str">
            <v>txc</v>
          </cell>
        </row>
        <row r="1030">
          <cell r="A1030" t="str">
            <v>txc-</v>
          </cell>
          <cell r="B1030" t="str">
            <v>txc</v>
          </cell>
        </row>
        <row r="1031">
          <cell r="A1031" t="str">
            <v>txc-</v>
          </cell>
          <cell r="B1031" t="str">
            <v>txc</v>
          </cell>
        </row>
        <row r="1032">
          <cell r="A1032" t="str">
            <v>txc-</v>
          </cell>
          <cell r="B1032" t="str">
            <v>txc</v>
          </cell>
        </row>
        <row r="1033">
          <cell r="A1033" t="str">
            <v>txc-</v>
          </cell>
          <cell r="B1033" t="str">
            <v>txc</v>
          </cell>
        </row>
        <row r="1034">
          <cell r="A1034" t="str">
            <v>txc-</v>
          </cell>
          <cell r="B1034" t="str">
            <v>txc</v>
          </cell>
        </row>
        <row r="1035">
          <cell r="A1035" t="str">
            <v>txc-</v>
          </cell>
          <cell r="B1035" t="str">
            <v>txc</v>
          </cell>
        </row>
        <row r="1036">
          <cell r="A1036" t="str">
            <v>txc-</v>
          </cell>
          <cell r="B1036" t="str">
            <v>txc</v>
          </cell>
        </row>
        <row r="1037">
          <cell r="A1037" t="str">
            <v>txc-</v>
          </cell>
          <cell r="B1037" t="str">
            <v>txc</v>
          </cell>
        </row>
        <row r="1038">
          <cell r="A1038" t="str">
            <v>txc-</v>
          </cell>
          <cell r="B1038" t="str">
            <v>txc</v>
          </cell>
        </row>
        <row r="1039">
          <cell r="A1039" t="str">
            <v>txc-</v>
          </cell>
          <cell r="B1039" t="str">
            <v>txc</v>
          </cell>
        </row>
        <row r="1040">
          <cell r="A1040" t="str">
            <v>txc-</v>
          </cell>
          <cell r="B1040" t="str">
            <v>txc</v>
          </cell>
        </row>
        <row r="1041">
          <cell r="A1041" t="str">
            <v>txc-</v>
          </cell>
          <cell r="B1041" t="str">
            <v>txc</v>
          </cell>
        </row>
        <row r="1042">
          <cell r="A1042" t="str">
            <v>txc-</v>
          </cell>
          <cell r="B1042" t="str">
            <v>txc</v>
          </cell>
        </row>
        <row r="1043">
          <cell r="A1043" t="str">
            <v>txc-</v>
          </cell>
          <cell r="B1043" t="str">
            <v>txc</v>
          </cell>
        </row>
        <row r="1044">
          <cell r="A1044" t="str">
            <v>txc-</v>
          </cell>
          <cell r="B1044" t="str">
            <v>txc</v>
          </cell>
        </row>
        <row r="1045">
          <cell r="A1045" t="str">
            <v>txc-</v>
          </cell>
          <cell r="B1045" t="str">
            <v>txc</v>
          </cell>
        </row>
        <row r="1046">
          <cell r="A1046" t="str">
            <v>txc-</v>
          </cell>
          <cell r="B1046" t="str">
            <v>txc</v>
          </cell>
        </row>
        <row r="1047">
          <cell r="A1047" t="str">
            <v>txc-</v>
          </cell>
          <cell r="B1047" t="str">
            <v>txc</v>
          </cell>
        </row>
        <row r="1048">
          <cell r="A1048" t="str">
            <v>txc-</v>
          </cell>
          <cell r="B1048" t="str">
            <v>txc</v>
          </cell>
        </row>
        <row r="1049">
          <cell r="A1049" t="str">
            <v>txc-</v>
          </cell>
          <cell r="B1049" t="str">
            <v>txc</v>
          </cell>
        </row>
        <row r="1050">
          <cell r="A1050" t="str">
            <v>txc-</v>
          </cell>
          <cell r="B1050" t="str">
            <v>txc</v>
          </cell>
        </row>
        <row r="1051">
          <cell r="A1051" t="str">
            <v>txc-</v>
          </cell>
          <cell r="B1051" t="str">
            <v>txc</v>
          </cell>
        </row>
        <row r="1052">
          <cell r="A1052" t="str">
            <v>txc-</v>
          </cell>
          <cell r="B1052" t="str">
            <v>txc</v>
          </cell>
        </row>
        <row r="1053">
          <cell r="A1053" t="str">
            <v>txc-</v>
          </cell>
          <cell r="B1053" t="str">
            <v>txc</v>
          </cell>
        </row>
        <row r="1054">
          <cell r="A1054" t="str">
            <v>txc-</v>
          </cell>
          <cell r="B1054" t="str">
            <v>txc</v>
          </cell>
        </row>
        <row r="1055">
          <cell r="A1055" t="str">
            <v>txc-</v>
          </cell>
          <cell r="B1055" t="str">
            <v>txc</v>
          </cell>
        </row>
        <row r="1056">
          <cell r="A1056" t="str">
            <v>txc-</v>
          </cell>
          <cell r="B1056" t="str">
            <v>txc</v>
          </cell>
        </row>
        <row r="1057">
          <cell r="A1057" t="str">
            <v>txc-</v>
          </cell>
          <cell r="B1057" t="str">
            <v>txc</v>
          </cell>
        </row>
        <row r="1058">
          <cell r="A1058" t="str">
            <v>txc-</v>
          </cell>
          <cell r="B1058" t="str">
            <v>txc</v>
          </cell>
        </row>
        <row r="1059">
          <cell r="A1059" t="str">
            <v>txc-</v>
          </cell>
          <cell r="B1059" t="str">
            <v>txc</v>
          </cell>
        </row>
        <row r="1060">
          <cell r="A1060" t="str">
            <v>txc-</v>
          </cell>
          <cell r="B1060" t="str">
            <v>txc</v>
          </cell>
        </row>
        <row r="1061">
          <cell r="A1061" t="str">
            <v>txc-</v>
          </cell>
          <cell r="B1061" t="str">
            <v>txc</v>
          </cell>
        </row>
        <row r="1062">
          <cell r="A1062" t="str">
            <v>txc-</v>
          </cell>
          <cell r="B1062" t="str">
            <v>txc</v>
          </cell>
        </row>
        <row r="1063">
          <cell r="A1063" t="str">
            <v>txc-</v>
          </cell>
          <cell r="B1063" t="str">
            <v>txc</v>
          </cell>
        </row>
        <row r="1064">
          <cell r="A1064" t="str">
            <v>txc-</v>
          </cell>
          <cell r="B1064" t="str">
            <v>txc</v>
          </cell>
        </row>
        <row r="1065">
          <cell r="A1065" t="str">
            <v>txc-</v>
          </cell>
          <cell r="B1065" t="str">
            <v>txc</v>
          </cell>
        </row>
        <row r="1066">
          <cell r="A1066" t="str">
            <v>txc-</v>
          </cell>
          <cell r="B1066" t="str">
            <v>txc</v>
          </cell>
        </row>
        <row r="1067">
          <cell r="A1067" t="str">
            <v>txc-</v>
          </cell>
          <cell r="B1067" t="str">
            <v>txc</v>
          </cell>
        </row>
        <row r="1068">
          <cell r="A1068" t="str">
            <v>txc-</v>
          </cell>
          <cell r="B1068" t="str">
            <v>txc</v>
          </cell>
        </row>
        <row r="1069">
          <cell r="A1069" t="str">
            <v>txc-</v>
          </cell>
          <cell r="B1069" t="str">
            <v>txc</v>
          </cell>
        </row>
        <row r="1070">
          <cell r="A1070" t="str">
            <v>txc-</v>
          </cell>
          <cell r="B1070" t="str">
            <v>txc</v>
          </cell>
        </row>
        <row r="1071">
          <cell r="A1071" t="str">
            <v>txc-</v>
          </cell>
          <cell r="B1071" t="str">
            <v>txc</v>
          </cell>
        </row>
        <row r="1072">
          <cell r="A1072" t="str">
            <v>txc-</v>
          </cell>
          <cell r="B1072" t="str">
            <v>txc</v>
          </cell>
        </row>
        <row r="1073">
          <cell r="A1073" t="str">
            <v>txc-</v>
          </cell>
          <cell r="B1073" t="str">
            <v>txc</v>
          </cell>
        </row>
        <row r="1074">
          <cell r="A1074" t="str">
            <v>txc-</v>
          </cell>
          <cell r="B1074" t="str">
            <v>txc</v>
          </cell>
        </row>
        <row r="1075">
          <cell r="A1075" t="str">
            <v>txc-</v>
          </cell>
          <cell r="B1075" t="str">
            <v>txc</v>
          </cell>
        </row>
        <row r="1076">
          <cell r="A1076" t="str">
            <v>txc-</v>
          </cell>
          <cell r="B1076" t="str">
            <v>txc</v>
          </cell>
        </row>
        <row r="1077">
          <cell r="A1077" t="str">
            <v>txc-</v>
          </cell>
          <cell r="B1077" t="str">
            <v>txc</v>
          </cell>
        </row>
        <row r="1078">
          <cell r="A1078" t="str">
            <v>txc-</v>
          </cell>
          <cell r="B1078" t="str">
            <v>txc</v>
          </cell>
        </row>
        <row r="1079">
          <cell r="A1079" t="str">
            <v>txc-</v>
          </cell>
          <cell r="B1079" t="str">
            <v>txc</v>
          </cell>
        </row>
        <row r="1080">
          <cell r="A1080" t="str">
            <v>txc-</v>
          </cell>
          <cell r="B1080" t="str">
            <v>txc</v>
          </cell>
        </row>
        <row r="1081">
          <cell r="A1081" t="str">
            <v>txc-</v>
          </cell>
          <cell r="B1081" t="str">
            <v>txc</v>
          </cell>
        </row>
        <row r="1082">
          <cell r="A1082" t="str">
            <v>txc-</v>
          </cell>
          <cell r="B1082" t="str">
            <v>txc</v>
          </cell>
        </row>
        <row r="1083">
          <cell r="A1083" t="str">
            <v>txc-</v>
          </cell>
          <cell r="B1083" t="str">
            <v>txc</v>
          </cell>
        </row>
        <row r="1084">
          <cell r="A1084" t="str">
            <v>txc-</v>
          </cell>
          <cell r="B1084" t="str">
            <v>txc</v>
          </cell>
        </row>
        <row r="1085">
          <cell r="A1085" t="str">
            <v>txc-</v>
          </cell>
          <cell r="B1085" t="str">
            <v>txc</v>
          </cell>
        </row>
        <row r="1086">
          <cell r="A1086" t="str">
            <v>txc-</v>
          </cell>
          <cell r="B1086" t="str">
            <v>txc</v>
          </cell>
        </row>
        <row r="1087">
          <cell r="A1087" t="str">
            <v>txc-</v>
          </cell>
          <cell r="B1087" t="str">
            <v>txc</v>
          </cell>
        </row>
        <row r="1088">
          <cell r="A1088" t="str">
            <v>txc-</v>
          </cell>
          <cell r="B1088" t="str">
            <v>txc</v>
          </cell>
        </row>
        <row r="1089">
          <cell r="A1089" t="str">
            <v>txc-</v>
          </cell>
          <cell r="B1089" t="str">
            <v>txc</v>
          </cell>
        </row>
        <row r="1090">
          <cell r="A1090" t="str">
            <v>txc-</v>
          </cell>
          <cell r="B1090" t="str">
            <v>txc</v>
          </cell>
        </row>
        <row r="1091">
          <cell r="A1091" t="str">
            <v>txc-</v>
          </cell>
          <cell r="B1091" t="str">
            <v>txc</v>
          </cell>
        </row>
        <row r="1092">
          <cell r="A1092" t="str">
            <v>txc-</v>
          </cell>
          <cell r="B1092" t="str">
            <v>txc</v>
          </cell>
        </row>
        <row r="1093">
          <cell r="A1093" t="str">
            <v>txc-</v>
          </cell>
          <cell r="B1093" t="str">
            <v>txc</v>
          </cell>
        </row>
        <row r="1094">
          <cell r="A1094" t="str">
            <v>txc-</v>
          </cell>
          <cell r="B1094" t="str">
            <v>txc</v>
          </cell>
        </row>
        <row r="1095">
          <cell r="A1095" t="str">
            <v>txc-</v>
          </cell>
          <cell r="B1095" t="str">
            <v>txc</v>
          </cell>
        </row>
        <row r="1096">
          <cell r="A1096" t="str">
            <v>txc-</v>
          </cell>
          <cell r="B1096" t="str">
            <v>txc</v>
          </cell>
        </row>
        <row r="1097">
          <cell r="A1097" t="str">
            <v>txc-</v>
          </cell>
          <cell r="B1097" t="str">
            <v>txc</v>
          </cell>
        </row>
        <row r="1098">
          <cell r="A1098" t="str">
            <v>txc-</v>
          </cell>
          <cell r="B1098" t="str">
            <v>txc</v>
          </cell>
        </row>
        <row r="1099">
          <cell r="A1099" t="str">
            <v>txc-</v>
          </cell>
          <cell r="B1099" t="str">
            <v>txc</v>
          </cell>
        </row>
        <row r="1100">
          <cell r="A1100" t="str">
            <v>txc-</v>
          </cell>
          <cell r="B1100" t="str">
            <v>txc</v>
          </cell>
        </row>
        <row r="1101">
          <cell r="A1101" t="str">
            <v>txc-</v>
          </cell>
          <cell r="B1101" t="str">
            <v>txc</v>
          </cell>
        </row>
        <row r="1102">
          <cell r="A1102" t="str">
            <v>txc-</v>
          </cell>
          <cell r="B1102" t="str">
            <v>txc</v>
          </cell>
        </row>
        <row r="1103">
          <cell r="A1103" t="str">
            <v>txc-</v>
          </cell>
          <cell r="B1103" t="str">
            <v>txc</v>
          </cell>
        </row>
        <row r="1104">
          <cell r="A1104" t="str">
            <v>txc-</v>
          </cell>
          <cell r="B1104" t="str">
            <v>txc</v>
          </cell>
        </row>
        <row r="1105">
          <cell r="A1105" t="str">
            <v>txc-</v>
          </cell>
          <cell r="B1105" t="str">
            <v>txc</v>
          </cell>
        </row>
        <row r="1106">
          <cell r="A1106" t="str">
            <v>txc-</v>
          </cell>
          <cell r="B1106" t="str">
            <v>txc</v>
          </cell>
        </row>
        <row r="1107">
          <cell r="A1107" t="str">
            <v>txc-</v>
          </cell>
          <cell r="B1107" t="str">
            <v>txc</v>
          </cell>
        </row>
        <row r="1108">
          <cell r="A1108" t="str">
            <v>txc-</v>
          </cell>
          <cell r="B1108" t="str">
            <v>txc</v>
          </cell>
        </row>
        <row r="1109">
          <cell r="A1109" t="str">
            <v>txc-</v>
          </cell>
          <cell r="B1109" t="str">
            <v>txc</v>
          </cell>
        </row>
        <row r="1110">
          <cell r="A1110" t="str">
            <v>txc-</v>
          </cell>
          <cell r="B1110" t="str">
            <v>txc</v>
          </cell>
        </row>
        <row r="1111">
          <cell r="A1111" t="str">
            <v>txc-</v>
          </cell>
          <cell r="B1111" t="str">
            <v>txc</v>
          </cell>
        </row>
        <row r="1112">
          <cell r="A1112" t="str">
            <v>txc-</v>
          </cell>
          <cell r="B1112" t="str">
            <v>txc</v>
          </cell>
        </row>
        <row r="1113">
          <cell r="A1113" t="str">
            <v>txc-</v>
          </cell>
          <cell r="B1113" t="str">
            <v>txc</v>
          </cell>
        </row>
        <row r="1114">
          <cell r="A1114" t="str">
            <v>txc-</v>
          </cell>
          <cell r="B1114" t="str">
            <v>txc</v>
          </cell>
        </row>
        <row r="1115">
          <cell r="A1115" t="str">
            <v>txc-</v>
          </cell>
          <cell r="B1115" t="str">
            <v>txc</v>
          </cell>
        </row>
        <row r="1116">
          <cell r="A1116" t="str">
            <v>txc-</v>
          </cell>
          <cell r="B1116" t="str">
            <v>txc</v>
          </cell>
        </row>
        <row r="1117">
          <cell r="A1117" t="str">
            <v>txc-</v>
          </cell>
          <cell r="B1117" t="str">
            <v>txc</v>
          </cell>
        </row>
        <row r="1118">
          <cell r="A1118" t="str">
            <v>txc-</v>
          </cell>
          <cell r="B1118" t="str">
            <v>txc</v>
          </cell>
        </row>
        <row r="1119">
          <cell r="A1119" t="str">
            <v>txc-</v>
          </cell>
          <cell r="B1119" t="str">
            <v>txc</v>
          </cell>
        </row>
        <row r="1120">
          <cell r="A1120" t="str">
            <v>txc-</v>
          </cell>
          <cell r="B1120" t="str">
            <v>txc</v>
          </cell>
        </row>
        <row r="1121">
          <cell r="A1121" t="str">
            <v>txc-</v>
          </cell>
          <cell r="B1121" t="str">
            <v>txc</v>
          </cell>
        </row>
        <row r="1122">
          <cell r="A1122" t="str">
            <v>txc-</v>
          </cell>
          <cell r="B1122" t="str">
            <v>txc</v>
          </cell>
        </row>
        <row r="1123">
          <cell r="A1123" t="str">
            <v>txc-</v>
          </cell>
          <cell r="B1123" t="str">
            <v>txc</v>
          </cell>
        </row>
        <row r="1124">
          <cell r="A1124" t="str">
            <v>txc-</v>
          </cell>
          <cell r="B1124" t="str">
            <v>txc</v>
          </cell>
        </row>
        <row r="1125">
          <cell r="A1125" t="str">
            <v>txc-</v>
          </cell>
          <cell r="B1125" t="str">
            <v>txc</v>
          </cell>
        </row>
        <row r="1126">
          <cell r="A1126" t="str">
            <v>txc-</v>
          </cell>
          <cell r="B1126" t="str">
            <v>txc</v>
          </cell>
        </row>
        <row r="1127">
          <cell r="A1127" t="str">
            <v>txc-</v>
          </cell>
          <cell r="B1127" t="str">
            <v>txc</v>
          </cell>
        </row>
        <row r="1128">
          <cell r="A1128" t="str">
            <v>txc-</v>
          </cell>
          <cell r="B1128" t="str">
            <v>txc</v>
          </cell>
        </row>
        <row r="1129">
          <cell r="A1129" t="str">
            <v>txc-</v>
          </cell>
          <cell r="B1129" t="str">
            <v>txc</v>
          </cell>
        </row>
        <row r="1130">
          <cell r="A1130" t="str">
            <v>txc-</v>
          </cell>
          <cell r="B1130" t="str">
            <v>txc</v>
          </cell>
        </row>
        <row r="1131">
          <cell r="A1131" t="str">
            <v>txc-</v>
          </cell>
          <cell r="B1131" t="str">
            <v>txc</v>
          </cell>
        </row>
        <row r="1132">
          <cell r="A1132" t="str">
            <v>txc-</v>
          </cell>
          <cell r="B1132" t="str">
            <v>txc</v>
          </cell>
        </row>
        <row r="1133">
          <cell r="A1133" t="str">
            <v>txc-</v>
          </cell>
          <cell r="B1133" t="str">
            <v>txc</v>
          </cell>
        </row>
        <row r="1134">
          <cell r="A1134" t="str">
            <v>txc-</v>
          </cell>
          <cell r="B1134" t="str">
            <v>txc</v>
          </cell>
        </row>
        <row r="1135">
          <cell r="A1135" t="str">
            <v>txc-</v>
          </cell>
          <cell r="B1135" t="str">
            <v>txc</v>
          </cell>
        </row>
        <row r="1136">
          <cell r="A1136" t="str">
            <v>txc-</v>
          </cell>
          <cell r="B1136" t="str">
            <v>txc</v>
          </cell>
        </row>
        <row r="1137">
          <cell r="A1137" t="str">
            <v>txc-</v>
          </cell>
          <cell r="B1137" t="str">
            <v>txc</v>
          </cell>
        </row>
        <row r="1138">
          <cell r="A1138" t="str">
            <v>txc-</v>
          </cell>
          <cell r="B1138" t="str">
            <v>txc</v>
          </cell>
        </row>
        <row r="1139">
          <cell r="A1139" t="str">
            <v>txc-</v>
          </cell>
          <cell r="B1139" t="str">
            <v>txc</v>
          </cell>
        </row>
        <row r="1140">
          <cell r="A1140" t="str">
            <v>txc-</v>
          </cell>
          <cell r="B1140" t="str">
            <v>txc</v>
          </cell>
        </row>
        <row r="1141">
          <cell r="A1141" t="str">
            <v>txc-</v>
          </cell>
          <cell r="B1141" t="str">
            <v>txc</v>
          </cell>
        </row>
        <row r="1142">
          <cell r="A1142" t="str">
            <v>txc-</v>
          </cell>
          <cell r="B1142" t="str">
            <v>txc</v>
          </cell>
        </row>
        <row r="1143">
          <cell r="A1143" t="str">
            <v>txc-</v>
          </cell>
          <cell r="B1143" t="str">
            <v>txc</v>
          </cell>
        </row>
        <row r="1144">
          <cell r="A1144" t="str">
            <v>txc-</v>
          </cell>
          <cell r="B1144" t="str">
            <v>txc</v>
          </cell>
        </row>
        <row r="1145">
          <cell r="A1145" t="str">
            <v>txc-</v>
          </cell>
          <cell r="B1145" t="str">
            <v>txc</v>
          </cell>
        </row>
        <row r="1146">
          <cell r="A1146" t="str">
            <v>txc-</v>
          </cell>
          <cell r="B1146" t="str">
            <v>txc</v>
          </cell>
        </row>
        <row r="1147">
          <cell r="A1147" t="str">
            <v>txc-</v>
          </cell>
          <cell r="B1147" t="str">
            <v>txc</v>
          </cell>
        </row>
        <row r="1148">
          <cell r="A1148" t="str">
            <v>txc-</v>
          </cell>
          <cell r="B1148" t="str">
            <v>txc</v>
          </cell>
        </row>
        <row r="1149">
          <cell r="A1149" t="str">
            <v>txc-</v>
          </cell>
          <cell r="B1149" t="str">
            <v>txc</v>
          </cell>
        </row>
        <row r="1150">
          <cell r="A1150" t="str">
            <v>txc-</v>
          </cell>
          <cell r="B1150" t="str">
            <v>txc</v>
          </cell>
        </row>
        <row r="1151">
          <cell r="A1151" t="str">
            <v>txc-</v>
          </cell>
          <cell r="B1151" t="str">
            <v>txc</v>
          </cell>
        </row>
        <row r="1152">
          <cell r="A1152" t="str">
            <v>txc-</v>
          </cell>
          <cell r="B1152" t="str">
            <v>txc</v>
          </cell>
        </row>
        <row r="1153">
          <cell r="A1153" t="str">
            <v>txc-</v>
          </cell>
          <cell r="B1153" t="str">
            <v>txc</v>
          </cell>
        </row>
        <row r="1154">
          <cell r="A1154" t="str">
            <v>txc-</v>
          </cell>
          <cell r="B1154" t="str">
            <v>txc</v>
          </cell>
        </row>
        <row r="1155">
          <cell r="A1155" t="str">
            <v>txc-</v>
          </cell>
          <cell r="B1155" t="str">
            <v>txc</v>
          </cell>
        </row>
        <row r="1156">
          <cell r="A1156" t="str">
            <v>txc-</v>
          </cell>
          <cell r="B1156" t="str">
            <v>txc</v>
          </cell>
        </row>
        <row r="1157">
          <cell r="A1157" t="str">
            <v>txc-</v>
          </cell>
          <cell r="B1157" t="str">
            <v>txc</v>
          </cell>
        </row>
        <row r="1158">
          <cell r="A1158" t="str">
            <v>txc-</v>
          </cell>
          <cell r="B1158" t="str">
            <v>txc</v>
          </cell>
        </row>
        <row r="1159">
          <cell r="A1159" t="str">
            <v>txc-</v>
          </cell>
          <cell r="B1159" t="str">
            <v>txc</v>
          </cell>
        </row>
        <row r="1160">
          <cell r="A1160" t="str">
            <v>txc-</v>
          </cell>
          <cell r="B1160" t="str">
            <v>txc</v>
          </cell>
        </row>
        <row r="1161">
          <cell r="A1161" t="str">
            <v>txc-</v>
          </cell>
          <cell r="B1161" t="str">
            <v>txc</v>
          </cell>
        </row>
        <row r="1162">
          <cell r="A1162" t="str">
            <v>txc-</v>
          </cell>
          <cell r="B1162" t="str">
            <v>txc</v>
          </cell>
        </row>
        <row r="1163">
          <cell r="A1163" t="str">
            <v>txc-</v>
          </cell>
          <cell r="B1163" t="str">
            <v>txc</v>
          </cell>
        </row>
        <row r="1164">
          <cell r="A1164" t="str">
            <v>txc-</v>
          </cell>
          <cell r="B1164" t="str">
            <v>txc</v>
          </cell>
        </row>
        <row r="1165">
          <cell r="A1165" t="str">
            <v>txc-</v>
          </cell>
          <cell r="B1165" t="str">
            <v>txc</v>
          </cell>
        </row>
        <row r="1166">
          <cell r="A1166" t="str">
            <v>txc-</v>
          </cell>
          <cell r="B1166" t="str">
            <v>txc</v>
          </cell>
        </row>
        <row r="1167">
          <cell r="A1167" t="str">
            <v>txc-</v>
          </cell>
          <cell r="B1167" t="str">
            <v>txc</v>
          </cell>
        </row>
        <row r="1168">
          <cell r="A1168" t="str">
            <v>txc-</v>
          </cell>
          <cell r="B1168" t="str">
            <v>txc</v>
          </cell>
        </row>
        <row r="1169">
          <cell r="A1169" t="str">
            <v>txc-</v>
          </cell>
          <cell r="B1169" t="str">
            <v>txc</v>
          </cell>
        </row>
        <row r="1170">
          <cell r="A1170" t="str">
            <v>txc-</v>
          </cell>
          <cell r="B1170" t="str">
            <v>txc</v>
          </cell>
        </row>
        <row r="1171">
          <cell r="A1171" t="str">
            <v>txc-</v>
          </cell>
          <cell r="B1171" t="str">
            <v>txc</v>
          </cell>
        </row>
        <row r="1172">
          <cell r="A1172" t="str">
            <v>txc-</v>
          </cell>
          <cell r="B1172" t="str">
            <v>txc</v>
          </cell>
        </row>
        <row r="1173">
          <cell r="A1173" t="str">
            <v>txc-</v>
          </cell>
          <cell r="B1173" t="str">
            <v>txc</v>
          </cell>
        </row>
        <row r="1174">
          <cell r="A1174" t="str">
            <v>txc-</v>
          </cell>
          <cell r="B1174" t="str">
            <v>txc</v>
          </cell>
        </row>
        <row r="1175">
          <cell r="A1175" t="str">
            <v>txc-</v>
          </cell>
          <cell r="B1175" t="str">
            <v>txc</v>
          </cell>
        </row>
        <row r="1176">
          <cell r="A1176" t="str">
            <v>txc-</v>
          </cell>
          <cell r="B1176" t="str">
            <v>txc</v>
          </cell>
        </row>
        <row r="1177">
          <cell r="A1177" t="str">
            <v>txc-</v>
          </cell>
          <cell r="B1177" t="str">
            <v>txc</v>
          </cell>
        </row>
        <row r="1178">
          <cell r="A1178" t="str">
            <v>txc-</v>
          </cell>
          <cell r="B1178" t="str">
            <v>txc</v>
          </cell>
        </row>
        <row r="1179">
          <cell r="A1179" t="str">
            <v>txc-</v>
          </cell>
          <cell r="B1179" t="str">
            <v>txc</v>
          </cell>
        </row>
        <row r="1180">
          <cell r="A1180" t="str">
            <v>txc-</v>
          </cell>
          <cell r="B1180" t="str">
            <v>txc</v>
          </cell>
        </row>
        <row r="1181">
          <cell r="A1181" t="str">
            <v>txc-</v>
          </cell>
          <cell r="B1181" t="str">
            <v>txc</v>
          </cell>
        </row>
        <row r="1182">
          <cell r="A1182" t="str">
            <v>txc-</v>
          </cell>
          <cell r="B1182" t="str">
            <v>txc</v>
          </cell>
        </row>
        <row r="1183">
          <cell r="A1183" t="str">
            <v>txc-</v>
          </cell>
          <cell r="B1183" t="str">
            <v>txc</v>
          </cell>
        </row>
        <row r="1184">
          <cell r="A1184" t="str">
            <v>txc-</v>
          </cell>
          <cell r="B1184" t="str">
            <v>txc</v>
          </cell>
        </row>
        <row r="1185">
          <cell r="A1185" t="str">
            <v>txc-</v>
          </cell>
          <cell r="B1185" t="str">
            <v>txc</v>
          </cell>
        </row>
        <row r="1186">
          <cell r="A1186" t="str">
            <v>txc-</v>
          </cell>
          <cell r="B1186" t="str">
            <v>txc</v>
          </cell>
        </row>
        <row r="1187">
          <cell r="A1187" t="str">
            <v>txc-</v>
          </cell>
          <cell r="B1187" t="str">
            <v>txc</v>
          </cell>
        </row>
        <row r="1188">
          <cell r="A1188" t="str">
            <v>txc-</v>
          </cell>
          <cell r="B1188" t="str">
            <v>txc</v>
          </cell>
        </row>
        <row r="1189">
          <cell r="A1189" t="str">
            <v>txc-</v>
          </cell>
          <cell r="B1189" t="str">
            <v>txc</v>
          </cell>
        </row>
        <row r="1190">
          <cell r="A1190" t="str">
            <v>txc-</v>
          </cell>
          <cell r="B1190" t="str">
            <v>txc</v>
          </cell>
        </row>
        <row r="1191">
          <cell r="A1191" t="str">
            <v>txc-</v>
          </cell>
          <cell r="B1191" t="str">
            <v>txc</v>
          </cell>
        </row>
        <row r="1192">
          <cell r="A1192" t="str">
            <v>txc-</v>
          </cell>
          <cell r="B1192" t="str">
            <v>txc</v>
          </cell>
        </row>
        <row r="1193">
          <cell r="A1193" t="str">
            <v>txc-</v>
          </cell>
          <cell r="B1193" t="str">
            <v>txc</v>
          </cell>
        </row>
        <row r="1194">
          <cell r="A1194" t="str">
            <v>txc-</v>
          </cell>
          <cell r="B1194" t="str">
            <v>txc</v>
          </cell>
        </row>
        <row r="1195">
          <cell r="A1195" t="str">
            <v>txc-</v>
          </cell>
          <cell r="B1195" t="str">
            <v>txc</v>
          </cell>
        </row>
        <row r="1196">
          <cell r="A1196" t="str">
            <v>txc-</v>
          </cell>
          <cell r="B1196" t="str">
            <v>txc</v>
          </cell>
        </row>
        <row r="1197">
          <cell r="A1197" t="str">
            <v>txc-</v>
          </cell>
          <cell r="B1197" t="str">
            <v>txc</v>
          </cell>
        </row>
        <row r="1198">
          <cell r="A1198" t="str">
            <v>txc-</v>
          </cell>
          <cell r="B1198" t="str">
            <v>txc</v>
          </cell>
        </row>
        <row r="1199">
          <cell r="A1199" t="str">
            <v>txc-</v>
          </cell>
          <cell r="B1199" t="str">
            <v>txc</v>
          </cell>
        </row>
        <row r="1200">
          <cell r="A1200" t="str">
            <v>txc-</v>
          </cell>
          <cell r="B1200" t="str">
            <v>txc</v>
          </cell>
        </row>
        <row r="1201">
          <cell r="A1201" t="str">
            <v>txc-</v>
          </cell>
          <cell r="B1201" t="str">
            <v>txc</v>
          </cell>
        </row>
        <row r="1202">
          <cell r="A1202" t="str">
            <v>txc-</v>
          </cell>
          <cell r="B1202" t="str">
            <v>txc</v>
          </cell>
        </row>
        <row r="1203">
          <cell r="A1203" t="str">
            <v>txc-</v>
          </cell>
          <cell r="B1203" t="str">
            <v>txc</v>
          </cell>
        </row>
        <row r="1204">
          <cell r="A1204" t="str">
            <v>txc-</v>
          </cell>
          <cell r="B1204" t="str">
            <v>txc</v>
          </cell>
        </row>
        <row r="1205">
          <cell r="A1205" t="str">
            <v>txc-</v>
          </cell>
          <cell r="B1205" t="str">
            <v>txc</v>
          </cell>
        </row>
        <row r="1206">
          <cell r="A1206" t="str">
            <v>txc-</v>
          </cell>
          <cell r="B1206" t="str">
            <v>txc</v>
          </cell>
        </row>
        <row r="1207">
          <cell r="A1207" t="str">
            <v>txc-</v>
          </cell>
          <cell r="B1207" t="str">
            <v>txc</v>
          </cell>
        </row>
        <row r="1208">
          <cell r="A1208" t="str">
            <v>txc-</v>
          </cell>
          <cell r="B1208" t="str">
            <v>txc</v>
          </cell>
        </row>
        <row r="1209">
          <cell r="A1209" t="str">
            <v>txc-</v>
          </cell>
          <cell r="B1209" t="str">
            <v>txc</v>
          </cell>
        </row>
        <row r="1210">
          <cell r="A1210" t="str">
            <v>txc-</v>
          </cell>
          <cell r="B1210" t="str">
            <v>txc</v>
          </cell>
        </row>
        <row r="1211">
          <cell r="A1211" t="str">
            <v>txc-</v>
          </cell>
          <cell r="B1211" t="str">
            <v>txc</v>
          </cell>
        </row>
        <row r="1212">
          <cell r="A1212" t="str">
            <v>txc-</v>
          </cell>
          <cell r="B1212" t="str">
            <v>txc</v>
          </cell>
        </row>
        <row r="1213">
          <cell r="A1213" t="str">
            <v>txc-</v>
          </cell>
          <cell r="B1213" t="str">
            <v>txc</v>
          </cell>
        </row>
        <row r="1214">
          <cell r="A1214" t="str">
            <v>txc-</v>
          </cell>
          <cell r="B1214" t="str">
            <v>txc</v>
          </cell>
        </row>
        <row r="1215">
          <cell r="A1215" t="str">
            <v>txc-</v>
          </cell>
          <cell r="B1215" t="str">
            <v>txc</v>
          </cell>
        </row>
        <row r="1216">
          <cell r="A1216" t="str">
            <v>txc-</v>
          </cell>
          <cell r="B1216" t="str">
            <v>txc</v>
          </cell>
        </row>
        <row r="1217">
          <cell r="A1217" t="str">
            <v>txc-</v>
          </cell>
          <cell r="B1217" t="str">
            <v>txc</v>
          </cell>
        </row>
        <row r="1218">
          <cell r="A1218" t="str">
            <v>txc-</v>
          </cell>
          <cell r="B1218" t="str">
            <v>txc</v>
          </cell>
        </row>
        <row r="1219">
          <cell r="A1219" t="str">
            <v>txc-</v>
          </cell>
          <cell r="B1219" t="str">
            <v>txc</v>
          </cell>
        </row>
        <row r="1220">
          <cell r="A1220" t="str">
            <v>txc-</v>
          </cell>
          <cell r="B1220" t="str">
            <v>txc</v>
          </cell>
        </row>
        <row r="1221">
          <cell r="A1221" t="str">
            <v>txc-</v>
          </cell>
          <cell r="B1221" t="str">
            <v>txc</v>
          </cell>
        </row>
        <row r="1222">
          <cell r="A1222" t="str">
            <v>txc-</v>
          </cell>
          <cell r="B1222" t="str">
            <v>txc</v>
          </cell>
        </row>
        <row r="1223">
          <cell r="A1223" t="str">
            <v>txc-</v>
          </cell>
          <cell r="B1223" t="str">
            <v>txc</v>
          </cell>
        </row>
        <row r="1224">
          <cell r="A1224" t="str">
            <v>txc-</v>
          </cell>
          <cell r="B1224" t="str">
            <v>txc</v>
          </cell>
        </row>
        <row r="1225">
          <cell r="A1225" t="str">
            <v>txc-</v>
          </cell>
          <cell r="B1225" t="str">
            <v>txc</v>
          </cell>
        </row>
        <row r="1226">
          <cell r="A1226" t="str">
            <v>txc-</v>
          </cell>
          <cell r="B1226" t="str">
            <v>txc</v>
          </cell>
        </row>
        <row r="1227">
          <cell r="A1227" t="str">
            <v>txc-</v>
          </cell>
          <cell r="B1227" t="str">
            <v>txc</v>
          </cell>
        </row>
        <row r="1228">
          <cell r="A1228" t="str">
            <v>txc-</v>
          </cell>
          <cell r="B1228" t="str">
            <v>txc</v>
          </cell>
        </row>
        <row r="1229">
          <cell r="A1229" t="str">
            <v>txc-</v>
          </cell>
          <cell r="B1229" t="str">
            <v>txc</v>
          </cell>
        </row>
        <row r="1230">
          <cell r="A1230" t="str">
            <v>txc-</v>
          </cell>
          <cell r="B1230" t="str">
            <v>txc</v>
          </cell>
        </row>
        <row r="1231">
          <cell r="A1231" t="str">
            <v>txc-</v>
          </cell>
          <cell r="B1231" t="str">
            <v>txc</v>
          </cell>
        </row>
        <row r="1232">
          <cell r="A1232" t="str">
            <v>txc-</v>
          </cell>
          <cell r="B1232" t="str">
            <v>txc</v>
          </cell>
        </row>
        <row r="1233">
          <cell r="A1233" t="str">
            <v>txc-</v>
          </cell>
          <cell r="B1233" t="str">
            <v>txc</v>
          </cell>
        </row>
        <row r="1234">
          <cell r="A1234" t="str">
            <v>txc-</v>
          </cell>
          <cell r="B1234" t="str">
            <v>txc</v>
          </cell>
        </row>
        <row r="1235">
          <cell r="A1235" t="str">
            <v>txc-</v>
          </cell>
          <cell r="B1235" t="str">
            <v>txc</v>
          </cell>
        </row>
        <row r="1236">
          <cell r="A1236" t="str">
            <v>txc-</v>
          </cell>
          <cell r="B1236" t="str">
            <v>txc</v>
          </cell>
        </row>
        <row r="1237">
          <cell r="A1237" t="str">
            <v>txc-</v>
          </cell>
          <cell r="B1237" t="str">
            <v>txc</v>
          </cell>
        </row>
        <row r="1238">
          <cell r="A1238" t="str">
            <v>txc-</v>
          </cell>
          <cell r="B1238" t="str">
            <v>txc</v>
          </cell>
        </row>
        <row r="1239">
          <cell r="A1239" t="str">
            <v>txc-</v>
          </cell>
          <cell r="B1239" t="str">
            <v>txc</v>
          </cell>
        </row>
        <row r="1240">
          <cell r="A1240" t="str">
            <v>txc-</v>
          </cell>
          <cell r="B1240" t="str">
            <v>txc</v>
          </cell>
        </row>
        <row r="1241">
          <cell r="A1241" t="str">
            <v>txc-</v>
          </cell>
          <cell r="B1241" t="str">
            <v>txc</v>
          </cell>
        </row>
        <row r="1242">
          <cell r="A1242" t="str">
            <v>txc-</v>
          </cell>
          <cell r="B1242" t="str">
            <v>txc</v>
          </cell>
        </row>
        <row r="1243">
          <cell r="A1243" t="str">
            <v>txc-</v>
          </cell>
          <cell r="B1243" t="str">
            <v>txc</v>
          </cell>
        </row>
        <row r="1244">
          <cell r="A1244" t="str">
            <v>txc-</v>
          </cell>
          <cell r="B1244" t="str">
            <v>txc</v>
          </cell>
        </row>
        <row r="1245">
          <cell r="A1245" t="str">
            <v>txc-</v>
          </cell>
          <cell r="B1245" t="str">
            <v>txc</v>
          </cell>
        </row>
        <row r="1246">
          <cell r="A1246" t="str">
            <v>txc-</v>
          </cell>
          <cell r="B1246" t="str">
            <v>txc</v>
          </cell>
        </row>
        <row r="1247">
          <cell r="A1247" t="str">
            <v>txc-</v>
          </cell>
          <cell r="B1247" t="str">
            <v>txc</v>
          </cell>
        </row>
        <row r="1248">
          <cell r="A1248" t="str">
            <v>txc-</v>
          </cell>
          <cell r="B1248" t="str">
            <v>txc</v>
          </cell>
        </row>
        <row r="1249">
          <cell r="A1249" t="str">
            <v>txc-</v>
          </cell>
          <cell r="B1249" t="str">
            <v>txc</v>
          </cell>
        </row>
        <row r="1250">
          <cell r="A1250" t="str">
            <v>txc-</v>
          </cell>
          <cell r="B1250" t="str">
            <v>txc</v>
          </cell>
        </row>
        <row r="1251">
          <cell r="A1251" t="str">
            <v>txc-</v>
          </cell>
          <cell r="B1251" t="str">
            <v>txc</v>
          </cell>
        </row>
        <row r="1252">
          <cell r="A1252" t="str">
            <v>txc-</v>
          </cell>
          <cell r="B1252" t="str">
            <v>txc</v>
          </cell>
        </row>
        <row r="1253">
          <cell r="A1253" t="str">
            <v>txc-</v>
          </cell>
          <cell r="B1253" t="str">
            <v>txc</v>
          </cell>
        </row>
        <row r="1254">
          <cell r="A1254" t="str">
            <v>txc-</v>
          </cell>
          <cell r="B1254" t="str">
            <v>txc</v>
          </cell>
        </row>
        <row r="1255">
          <cell r="A1255" t="str">
            <v>txc-</v>
          </cell>
          <cell r="B1255" t="str">
            <v>txc</v>
          </cell>
        </row>
        <row r="1256">
          <cell r="A1256" t="str">
            <v>txc-</v>
          </cell>
          <cell r="B1256" t="str">
            <v>txc</v>
          </cell>
        </row>
        <row r="1257">
          <cell r="A1257" t="str">
            <v>txc-</v>
          </cell>
          <cell r="B1257" t="str">
            <v>txc</v>
          </cell>
        </row>
        <row r="1258">
          <cell r="A1258" t="str">
            <v>txc-</v>
          </cell>
          <cell r="B1258" t="str">
            <v>txc</v>
          </cell>
        </row>
        <row r="1259">
          <cell r="A1259" t="str">
            <v>txc-</v>
          </cell>
          <cell r="B1259" t="str">
            <v>txc</v>
          </cell>
        </row>
        <row r="1260">
          <cell r="A1260" t="str">
            <v>txc-</v>
          </cell>
          <cell r="B1260" t="str">
            <v>txc</v>
          </cell>
        </row>
        <row r="1261">
          <cell r="A1261" t="str">
            <v>txc-</v>
          </cell>
          <cell r="B1261" t="str">
            <v>txc</v>
          </cell>
        </row>
        <row r="1262">
          <cell r="A1262" t="str">
            <v>txc-</v>
          </cell>
          <cell r="B1262" t="str">
            <v>txc</v>
          </cell>
        </row>
        <row r="1263">
          <cell r="A1263" t="str">
            <v>txc-</v>
          </cell>
          <cell r="B1263" t="str">
            <v>txc</v>
          </cell>
        </row>
        <row r="1264">
          <cell r="A1264" t="str">
            <v>txc-</v>
          </cell>
          <cell r="B1264" t="str">
            <v>txc</v>
          </cell>
        </row>
        <row r="1265">
          <cell r="A1265" t="str">
            <v>txc-</v>
          </cell>
          <cell r="B1265" t="str">
            <v>txc</v>
          </cell>
        </row>
        <row r="1266">
          <cell r="A1266" t="str">
            <v>txc-</v>
          </cell>
          <cell r="B1266" t="str">
            <v>txc</v>
          </cell>
        </row>
        <row r="1267">
          <cell r="A1267" t="str">
            <v>txc-</v>
          </cell>
          <cell r="B1267" t="str">
            <v>txc</v>
          </cell>
        </row>
        <row r="1268">
          <cell r="A1268" t="str">
            <v>txc-</v>
          </cell>
          <cell r="B1268" t="str">
            <v>txc</v>
          </cell>
        </row>
        <row r="1269">
          <cell r="A1269" t="str">
            <v>txc-</v>
          </cell>
          <cell r="B1269" t="str">
            <v>txc</v>
          </cell>
        </row>
        <row r="1270">
          <cell r="A1270" t="str">
            <v>txc-</v>
          </cell>
          <cell r="B1270" t="str">
            <v>txc</v>
          </cell>
        </row>
        <row r="1271">
          <cell r="A1271" t="str">
            <v>txc-</v>
          </cell>
          <cell r="B1271" t="str">
            <v>txc</v>
          </cell>
        </row>
        <row r="1272">
          <cell r="A1272" t="str">
            <v>txc-</v>
          </cell>
          <cell r="B1272" t="str">
            <v>txc</v>
          </cell>
        </row>
        <row r="1273">
          <cell r="A1273" t="str">
            <v>txc-</v>
          </cell>
          <cell r="B1273" t="str">
            <v>txc</v>
          </cell>
        </row>
        <row r="1274">
          <cell r="A1274" t="str">
            <v>txc-</v>
          </cell>
          <cell r="B1274" t="str">
            <v>txc</v>
          </cell>
        </row>
        <row r="1275">
          <cell r="A1275" t="str">
            <v>txc-</v>
          </cell>
          <cell r="B1275" t="str">
            <v>txc</v>
          </cell>
        </row>
        <row r="1276">
          <cell r="A1276" t="str">
            <v>txc-</v>
          </cell>
          <cell r="B1276" t="str">
            <v>txc</v>
          </cell>
        </row>
        <row r="1277">
          <cell r="A1277" t="str">
            <v>txc-</v>
          </cell>
          <cell r="B1277" t="str">
            <v>txc</v>
          </cell>
        </row>
        <row r="1278">
          <cell r="A1278" t="str">
            <v>txc-</v>
          </cell>
          <cell r="B1278" t="str">
            <v>txc</v>
          </cell>
        </row>
        <row r="1279">
          <cell r="A1279" t="str">
            <v>txc-</v>
          </cell>
          <cell r="B1279" t="str">
            <v>txc</v>
          </cell>
        </row>
        <row r="1280">
          <cell r="A1280" t="str">
            <v>txc-</v>
          </cell>
          <cell r="B1280" t="str">
            <v>txc</v>
          </cell>
        </row>
        <row r="1281">
          <cell r="A1281" t="str">
            <v>txc-</v>
          </cell>
          <cell r="B1281" t="str">
            <v>txc</v>
          </cell>
        </row>
        <row r="1282">
          <cell r="A1282" t="str">
            <v>txc-</v>
          </cell>
          <cell r="B1282" t="str">
            <v>txc</v>
          </cell>
        </row>
        <row r="1283">
          <cell r="A1283" t="str">
            <v>txc-</v>
          </cell>
          <cell r="B1283" t="str">
            <v>txc</v>
          </cell>
        </row>
        <row r="1284">
          <cell r="A1284" t="str">
            <v>txc-</v>
          </cell>
          <cell r="B1284" t="str">
            <v>txc</v>
          </cell>
        </row>
        <row r="1285">
          <cell r="A1285" t="str">
            <v>txc-</v>
          </cell>
          <cell r="B1285" t="str">
            <v>txc</v>
          </cell>
        </row>
        <row r="1286">
          <cell r="A1286" t="str">
            <v>txc-</v>
          </cell>
          <cell r="B1286" t="str">
            <v>txc</v>
          </cell>
        </row>
        <row r="1287">
          <cell r="A1287" t="str">
            <v>txc-</v>
          </cell>
          <cell r="B1287" t="str">
            <v>txc</v>
          </cell>
        </row>
        <row r="1288">
          <cell r="A1288" t="str">
            <v>txc-</v>
          </cell>
          <cell r="B1288" t="str">
            <v>txc</v>
          </cell>
        </row>
        <row r="1289">
          <cell r="A1289" t="str">
            <v>txc-</v>
          </cell>
          <cell r="B1289" t="str">
            <v>txc</v>
          </cell>
        </row>
        <row r="1290">
          <cell r="A1290" t="str">
            <v>txc-</v>
          </cell>
          <cell r="B1290" t="str">
            <v>txc</v>
          </cell>
        </row>
        <row r="1291">
          <cell r="A1291" t="str">
            <v>txc-</v>
          </cell>
          <cell r="B1291" t="str">
            <v>txc</v>
          </cell>
        </row>
        <row r="1292">
          <cell r="A1292" t="str">
            <v>txc-</v>
          </cell>
          <cell r="B1292" t="str">
            <v>txc</v>
          </cell>
        </row>
        <row r="1293">
          <cell r="A1293" t="str">
            <v>txc-</v>
          </cell>
          <cell r="B1293" t="str">
            <v>txc</v>
          </cell>
        </row>
        <row r="1294">
          <cell r="A1294" t="str">
            <v>txc-</v>
          </cell>
          <cell r="B1294" t="str">
            <v>txc</v>
          </cell>
        </row>
        <row r="1295">
          <cell r="A1295" t="str">
            <v>txc-</v>
          </cell>
          <cell r="B1295" t="str">
            <v>txc</v>
          </cell>
        </row>
        <row r="1296">
          <cell r="A1296" t="str">
            <v>txc-</v>
          </cell>
          <cell r="B1296" t="str">
            <v>txc</v>
          </cell>
        </row>
        <row r="1297">
          <cell r="A1297" t="str">
            <v>txc-</v>
          </cell>
          <cell r="B1297" t="str">
            <v>txc</v>
          </cell>
        </row>
        <row r="1298">
          <cell r="A1298" t="str">
            <v>txc-</v>
          </cell>
          <cell r="B1298" t="str">
            <v>txc</v>
          </cell>
        </row>
        <row r="1299">
          <cell r="A1299" t="str">
            <v>txc-</v>
          </cell>
          <cell r="B1299" t="str">
            <v>txc</v>
          </cell>
        </row>
        <row r="1300">
          <cell r="A1300" t="str">
            <v>txc-</v>
          </cell>
          <cell r="B1300" t="str">
            <v>txc</v>
          </cell>
        </row>
        <row r="1301">
          <cell r="A1301" t="str">
            <v>txc-</v>
          </cell>
          <cell r="B1301" t="str">
            <v>txc</v>
          </cell>
        </row>
        <row r="1302">
          <cell r="A1302" t="str">
            <v>txc-</v>
          </cell>
          <cell r="B1302" t="str">
            <v>txc</v>
          </cell>
        </row>
        <row r="1303">
          <cell r="A1303" t="str">
            <v>txc-</v>
          </cell>
          <cell r="B1303" t="str">
            <v>txc</v>
          </cell>
        </row>
        <row r="1304">
          <cell r="A1304" t="str">
            <v>txc-</v>
          </cell>
          <cell r="B1304" t="str">
            <v>txc</v>
          </cell>
        </row>
        <row r="1305">
          <cell r="A1305" t="str">
            <v>txc-</v>
          </cell>
          <cell r="B1305" t="str">
            <v>txc</v>
          </cell>
        </row>
        <row r="1306">
          <cell r="A1306" t="str">
            <v>txc-</v>
          </cell>
          <cell r="B1306" t="str">
            <v>txc</v>
          </cell>
        </row>
        <row r="1307">
          <cell r="A1307" t="str">
            <v>txc-</v>
          </cell>
          <cell r="B1307" t="str">
            <v>txc</v>
          </cell>
        </row>
        <row r="1308">
          <cell r="A1308" t="str">
            <v>txc-</v>
          </cell>
          <cell r="B1308" t="str">
            <v>txc</v>
          </cell>
        </row>
        <row r="1309">
          <cell r="A1309" t="str">
            <v>txc-</v>
          </cell>
          <cell r="B1309" t="str">
            <v>txc</v>
          </cell>
        </row>
        <row r="1310">
          <cell r="A1310" t="str">
            <v>txc-</v>
          </cell>
          <cell r="B1310" t="str">
            <v>txc</v>
          </cell>
        </row>
        <row r="1311">
          <cell r="A1311" t="str">
            <v>txc-</v>
          </cell>
          <cell r="B1311" t="str">
            <v>txc</v>
          </cell>
        </row>
        <row r="1312">
          <cell r="A1312" t="str">
            <v>txc-</v>
          </cell>
          <cell r="B1312" t="str">
            <v>txc</v>
          </cell>
        </row>
        <row r="1313">
          <cell r="A1313" t="str">
            <v>txc-</v>
          </cell>
          <cell r="B1313" t="str">
            <v>txc</v>
          </cell>
        </row>
        <row r="1314">
          <cell r="A1314" t="str">
            <v>txc-</v>
          </cell>
          <cell r="B1314" t="str">
            <v>txc</v>
          </cell>
        </row>
        <row r="1315">
          <cell r="A1315" t="str">
            <v>txc-</v>
          </cell>
          <cell r="B1315" t="str">
            <v>txc</v>
          </cell>
        </row>
        <row r="1316">
          <cell r="A1316" t="str">
            <v>txc-</v>
          </cell>
          <cell r="B1316" t="str">
            <v>txc</v>
          </cell>
        </row>
        <row r="1317">
          <cell r="A1317" t="str">
            <v>txc-</v>
          </cell>
          <cell r="B1317" t="str">
            <v>txc</v>
          </cell>
        </row>
        <row r="1318">
          <cell r="A1318" t="str">
            <v>txc-</v>
          </cell>
          <cell r="B1318" t="str">
            <v>txc</v>
          </cell>
        </row>
        <row r="1319">
          <cell r="A1319" t="str">
            <v>txc-</v>
          </cell>
          <cell r="B1319" t="str">
            <v>txc</v>
          </cell>
        </row>
        <row r="1320">
          <cell r="A1320" t="str">
            <v>txc-</v>
          </cell>
          <cell r="B1320" t="str">
            <v>txc</v>
          </cell>
        </row>
        <row r="1321">
          <cell r="A1321" t="str">
            <v>txc-</v>
          </cell>
          <cell r="B1321" t="str">
            <v>txc</v>
          </cell>
        </row>
        <row r="1322">
          <cell r="A1322" t="str">
            <v>txc-</v>
          </cell>
          <cell r="B1322" t="str">
            <v>txc</v>
          </cell>
        </row>
        <row r="1323">
          <cell r="A1323" t="str">
            <v>txc-</v>
          </cell>
          <cell r="B1323" t="str">
            <v>txc</v>
          </cell>
        </row>
        <row r="1324">
          <cell r="A1324" t="str">
            <v>txc-</v>
          </cell>
          <cell r="B1324" t="str">
            <v>txc</v>
          </cell>
        </row>
        <row r="1325">
          <cell r="A1325" t="str">
            <v>txc-</v>
          </cell>
          <cell r="B1325" t="str">
            <v>txc</v>
          </cell>
        </row>
        <row r="1326">
          <cell r="A1326" t="str">
            <v>txc-</v>
          </cell>
          <cell r="B1326" t="str">
            <v>txc</v>
          </cell>
        </row>
        <row r="1327">
          <cell r="A1327" t="str">
            <v>txc-</v>
          </cell>
          <cell r="B1327" t="str">
            <v>txc</v>
          </cell>
        </row>
        <row r="1328">
          <cell r="A1328" t="str">
            <v>txc-</v>
          </cell>
          <cell r="B1328" t="str">
            <v>txc</v>
          </cell>
        </row>
        <row r="1329">
          <cell r="A1329" t="str">
            <v>txc-</v>
          </cell>
          <cell r="B1329" t="str">
            <v>txc</v>
          </cell>
        </row>
        <row r="1330">
          <cell r="A1330" t="str">
            <v>txc-</v>
          </cell>
          <cell r="B1330" t="str">
            <v>txc</v>
          </cell>
        </row>
        <row r="1331">
          <cell r="A1331" t="str">
            <v>txc-</v>
          </cell>
          <cell r="B1331" t="str">
            <v>txc</v>
          </cell>
        </row>
        <row r="1332">
          <cell r="A1332" t="str">
            <v>txc-</v>
          </cell>
          <cell r="B1332" t="str">
            <v>txc</v>
          </cell>
        </row>
        <row r="1333">
          <cell r="A1333" t="str">
            <v>txc-</v>
          </cell>
          <cell r="B1333" t="str">
            <v>txc</v>
          </cell>
        </row>
        <row r="1334">
          <cell r="A1334" t="str">
            <v>txc-</v>
          </cell>
          <cell r="B1334" t="str">
            <v>txc</v>
          </cell>
        </row>
        <row r="1335">
          <cell r="A1335" t="str">
            <v>txc-</v>
          </cell>
          <cell r="B1335" t="str">
            <v>txc</v>
          </cell>
        </row>
        <row r="1336">
          <cell r="A1336" t="str">
            <v>txc-</v>
          </cell>
          <cell r="B1336" t="str">
            <v>txc</v>
          </cell>
        </row>
        <row r="1337">
          <cell r="A1337" t="str">
            <v>txc-</v>
          </cell>
          <cell r="B1337" t="str">
            <v>txc</v>
          </cell>
        </row>
        <row r="1338">
          <cell r="A1338" t="str">
            <v>txc-</v>
          </cell>
          <cell r="B1338" t="str">
            <v>txc</v>
          </cell>
        </row>
        <row r="1339">
          <cell r="A1339" t="str">
            <v>txc-</v>
          </cell>
          <cell r="B1339" t="str">
            <v>txc</v>
          </cell>
        </row>
        <row r="1340">
          <cell r="A1340" t="str">
            <v>txc-</v>
          </cell>
          <cell r="B1340" t="str">
            <v>txc</v>
          </cell>
        </row>
        <row r="1341">
          <cell r="A1341" t="str">
            <v>txc-</v>
          </cell>
          <cell r="B1341" t="str">
            <v>txc</v>
          </cell>
        </row>
        <row r="1342">
          <cell r="A1342" t="str">
            <v>txc-</v>
          </cell>
          <cell r="B1342" t="str">
            <v>txc</v>
          </cell>
        </row>
        <row r="1343">
          <cell r="A1343" t="str">
            <v>txc-</v>
          </cell>
          <cell r="B1343" t="str">
            <v>txc</v>
          </cell>
        </row>
        <row r="1344">
          <cell r="A1344" t="str">
            <v>txc-</v>
          </cell>
          <cell r="B1344" t="str">
            <v>txc</v>
          </cell>
        </row>
        <row r="1345">
          <cell r="A1345" t="str">
            <v>txc-</v>
          </cell>
          <cell r="B1345" t="str">
            <v>txc</v>
          </cell>
        </row>
        <row r="1346">
          <cell r="A1346" t="str">
            <v>txc-</v>
          </cell>
          <cell r="B1346" t="str">
            <v>txc</v>
          </cell>
        </row>
        <row r="1347">
          <cell r="A1347" t="str">
            <v>txc-</v>
          </cell>
          <cell r="B1347" t="str">
            <v>txc</v>
          </cell>
        </row>
        <row r="1348">
          <cell r="A1348" t="str">
            <v>txc-</v>
          </cell>
          <cell r="B1348" t="str">
            <v>txc</v>
          </cell>
        </row>
        <row r="1349">
          <cell r="A1349" t="str">
            <v>txc-</v>
          </cell>
          <cell r="B1349" t="str">
            <v>txc</v>
          </cell>
        </row>
        <row r="1350">
          <cell r="A1350" t="str">
            <v>txc-</v>
          </cell>
          <cell r="B1350" t="str">
            <v>txc</v>
          </cell>
        </row>
        <row r="1351">
          <cell r="A1351" t="str">
            <v>txc-</v>
          </cell>
          <cell r="B1351" t="str">
            <v>txc</v>
          </cell>
        </row>
        <row r="1352">
          <cell r="A1352" t="str">
            <v>txc-</v>
          </cell>
          <cell r="B1352" t="str">
            <v>txc</v>
          </cell>
        </row>
        <row r="1353">
          <cell r="A1353" t="str">
            <v>txc-</v>
          </cell>
          <cell r="B1353" t="str">
            <v>txc</v>
          </cell>
        </row>
        <row r="1354">
          <cell r="A1354" t="str">
            <v>txc-</v>
          </cell>
          <cell r="B1354" t="str">
            <v>txc</v>
          </cell>
        </row>
        <row r="1355">
          <cell r="A1355" t="str">
            <v>txc-</v>
          </cell>
          <cell r="B1355" t="str">
            <v>txc</v>
          </cell>
        </row>
        <row r="1356">
          <cell r="A1356" t="str">
            <v>txc-</v>
          </cell>
          <cell r="B1356" t="str">
            <v>txc</v>
          </cell>
        </row>
        <row r="1357">
          <cell r="A1357" t="str">
            <v>txc-</v>
          </cell>
          <cell r="B1357" t="str">
            <v>txc</v>
          </cell>
        </row>
        <row r="1358">
          <cell r="A1358" t="str">
            <v>txc-</v>
          </cell>
          <cell r="B1358" t="str">
            <v>txc</v>
          </cell>
        </row>
        <row r="1359">
          <cell r="A1359" t="str">
            <v>txc-</v>
          </cell>
          <cell r="B1359" t="str">
            <v>txc</v>
          </cell>
        </row>
        <row r="1360">
          <cell r="A1360" t="str">
            <v>txc-</v>
          </cell>
          <cell r="B1360" t="str">
            <v>txc</v>
          </cell>
        </row>
        <row r="1361">
          <cell r="A1361" t="str">
            <v>txc-</v>
          </cell>
          <cell r="B1361" t="str">
            <v>txc</v>
          </cell>
        </row>
        <row r="1362">
          <cell r="A1362" t="str">
            <v>txc-</v>
          </cell>
          <cell r="B1362" t="str">
            <v>txc</v>
          </cell>
        </row>
        <row r="1363">
          <cell r="A1363" t="str">
            <v>txc-</v>
          </cell>
          <cell r="B1363" t="str">
            <v>txc</v>
          </cell>
        </row>
        <row r="1364">
          <cell r="A1364" t="str">
            <v>txc-</v>
          </cell>
          <cell r="B1364" t="str">
            <v>txc</v>
          </cell>
        </row>
        <row r="1365">
          <cell r="A1365" t="str">
            <v>txc-</v>
          </cell>
          <cell r="B1365" t="str">
            <v>txc</v>
          </cell>
        </row>
        <row r="1366">
          <cell r="A1366" t="str">
            <v>txc-</v>
          </cell>
          <cell r="B1366" t="str">
            <v>txc</v>
          </cell>
        </row>
        <row r="1367">
          <cell r="A1367" t="str">
            <v>txc-</v>
          </cell>
          <cell r="B1367" t="str">
            <v>txc</v>
          </cell>
        </row>
        <row r="1368">
          <cell r="A1368" t="str">
            <v>txc-</v>
          </cell>
          <cell r="B1368" t="str">
            <v>txc</v>
          </cell>
        </row>
        <row r="1369">
          <cell r="A1369" t="str">
            <v>txc-</v>
          </cell>
          <cell r="B1369" t="str">
            <v>txc</v>
          </cell>
        </row>
        <row r="1370">
          <cell r="A1370" t="str">
            <v>txc-</v>
          </cell>
          <cell r="B1370" t="str">
            <v>txc</v>
          </cell>
        </row>
        <row r="1371">
          <cell r="A1371" t="str">
            <v>txc-</v>
          </cell>
          <cell r="B1371" t="str">
            <v>txc</v>
          </cell>
        </row>
        <row r="1372">
          <cell r="A1372" t="str">
            <v>txc-</v>
          </cell>
          <cell r="B1372" t="str">
            <v>txc</v>
          </cell>
        </row>
        <row r="1373">
          <cell r="A1373" t="str">
            <v>txc-</v>
          </cell>
          <cell r="B1373" t="str">
            <v>txc</v>
          </cell>
        </row>
        <row r="1374">
          <cell r="A1374" t="str">
            <v>txc-</v>
          </cell>
          <cell r="B1374" t="str">
            <v>txc</v>
          </cell>
        </row>
        <row r="1375">
          <cell r="A1375" t="str">
            <v>txc-</v>
          </cell>
          <cell r="B1375" t="str">
            <v>txc</v>
          </cell>
        </row>
        <row r="1376">
          <cell r="A1376" t="str">
            <v>txc-</v>
          </cell>
          <cell r="B1376" t="str">
            <v>txc</v>
          </cell>
        </row>
        <row r="1377">
          <cell r="A1377" t="str">
            <v>txc-</v>
          </cell>
          <cell r="B1377" t="str">
            <v>txc</v>
          </cell>
        </row>
        <row r="1378">
          <cell r="A1378" t="str">
            <v>txc-</v>
          </cell>
          <cell r="B1378" t="str">
            <v>txc</v>
          </cell>
        </row>
        <row r="1379">
          <cell r="A1379" t="str">
            <v>txc-</v>
          </cell>
          <cell r="B1379" t="str">
            <v>txc</v>
          </cell>
        </row>
        <row r="1380">
          <cell r="A1380" t="str">
            <v>txc-</v>
          </cell>
          <cell r="B1380" t="str">
            <v>txc</v>
          </cell>
        </row>
        <row r="1381">
          <cell r="A1381" t="str">
            <v>txc-</v>
          </cell>
          <cell r="B1381" t="str">
            <v>txc</v>
          </cell>
        </row>
        <row r="1382">
          <cell r="A1382" t="str">
            <v>txc-</v>
          </cell>
          <cell r="B1382" t="str">
            <v>txc</v>
          </cell>
        </row>
        <row r="1383">
          <cell r="A1383" t="str">
            <v>txc-</v>
          </cell>
          <cell r="B1383" t="str">
            <v>txc</v>
          </cell>
        </row>
        <row r="1384">
          <cell r="A1384" t="str">
            <v>txc-</v>
          </cell>
          <cell r="B1384" t="str">
            <v>txc</v>
          </cell>
        </row>
        <row r="1385">
          <cell r="A1385" t="str">
            <v>txc-</v>
          </cell>
          <cell r="B1385" t="str">
            <v>txc</v>
          </cell>
        </row>
        <row r="1386">
          <cell r="A1386" t="str">
            <v>txc-</v>
          </cell>
          <cell r="B1386" t="str">
            <v>txc</v>
          </cell>
        </row>
        <row r="1387">
          <cell r="A1387" t="str">
            <v>txc-</v>
          </cell>
          <cell r="B1387" t="str">
            <v>txc</v>
          </cell>
        </row>
        <row r="1388">
          <cell r="A1388" t="str">
            <v>txc-</v>
          </cell>
          <cell r="B1388" t="str">
            <v>txc</v>
          </cell>
        </row>
        <row r="1389">
          <cell r="A1389" t="str">
            <v>txc-</v>
          </cell>
          <cell r="B1389" t="str">
            <v>txc</v>
          </cell>
        </row>
        <row r="1390">
          <cell r="A1390" t="str">
            <v>txc-</v>
          </cell>
          <cell r="B1390" t="str">
            <v>txc</v>
          </cell>
        </row>
        <row r="1391">
          <cell r="A1391" t="str">
            <v>txc-</v>
          </cell>
          <cell r="B1391" t="str">
            <v>txc</v>
          </cell>
        </row>
        <row r="1392">
          <cell r="A1392" t="str">
            <v>txc-</v>
          </cell>
          <cell r="B1392" t="str">
            <v>txc</v>
          </cell>
        </row>
        <row r="1393">
          <cell r="A1393" t="str">
            <v>txc-</v>
          </cell>
          <cell r="B1393" t="str">
            <v>txc</v>
          </cell>
        </row>
        <row r="1394">
          <cell r="A1394" t="str">
            <v>txc-</v>
          </cell>
          <cell r="B1394" t="str">
            <v>txc</v>
          </cell>
        </row>
        <row r="1395">
          <cell r="A1395" t="str">
            <v>txc-</v>
          </cell>
          <cell r="B1395" t="str">
            <v>txc</v>
          </cell>
        </row>
        <row r="1396">
          <cell r="A1396" t="str">
            <v>txc-</v>
          </cell>
          <cell r="B1396" t="str">
            <v>txc</v>
          </cell>
        </row>
        <row r="1397">
          <cell r="A1397" t="str">
            <v>txc-</v>
          </cell>
          <cell r="B1397" t="str">
            <v>txc</v>
          </cell>
        </row>
        <row r="1398">
          <cell r="A1398" t="str">
            <v>txc-</v>
          </cell>
          <cell r="B1398" t="str">
            <v>txc</v>
          </cell>
        </row>
        <row r="1399">
          <cell r="A1399" t="str">
            <v>txc-</v>
          </cell>
          <cell r="B1399" t="str">
            <v>txc</v>
          </cell>
        </row>
        <row r="1400">
          <cell r="A1400" t="str">
            <v>txc-</v>
          </cell>
          <cell r="B1400" t="str">
            <v>txc</v>
          </cell>
        </row>
        <row r="1401">
          <cell r="A1401" t="str">
            <v>txc-</v>
          </cell>
          <cell r="B1401" t="str">
            <v>txc</v>
          </cell>
        </row>
        <row r="1402">
          <cell r="A1402" t="str">
            <v>txc-</v>
          </cell>
          <cell r="B1402" t="str">
            <v>txc</v>
          </cell>
        </row>
        <row r="1403">
          <cell r="A1403" t="str">
            <v>txc-</v>
          </cell>
          <cell r="B1403" t="str">
            <v>txc</v>
          </cell>
        </row>
        <row r="1404">
          <cell r="A1404" t="str">
            <v>txc-</v>
          </cell>
          <cell r="B1404" t="str">
            <v>txc</v>
          </cell>
        </row>
        <row r="1405">
          <cell r="A1405" t="str">
            <v>txc-</v>
          </cell>
          <cell r="B1405" t="str">
            <v>txc</v>
          </cell>
        </row>
        <row r="1406">
          <cell r="A1406" t="str">
            <v>txc-</v>
          </cell>
          <cell r="B1406" t="str">
            <v>txc</v>
          </cell>
        </row>
        <row r="1407">
          <cell r="A1407" t="str">
            <v>txc-</v>
          </cell>
          <cell r="B1407" t="str">
            <v>txc</v>
          </cell>
        </row>
        <row r="1408">
          <cell r="A1408" t="str">
            <v>txc-</v>
          </cell>
          <cell r="B1408" t="str">
            <v>txc</v>
          </cell>
        </row>
        <row r="1409">
          <cell r="A1409" t="str">
            <v>txc-</v>
          </cell>
          <cell r="B1409" t="str">
            <v>txc</v>
          </cell>
        </row>
        <row r="1410">
          <cell r="A1410" t="str">
            <v>txc-</v>
          </cell>
          <cell r="B1410" t="str">
            <v>txc</v>
          </cell>
        </row>
        <row r="1411">
          <cell r="A1411" t="str">
            <v>txc-</v>
          </cell>
          <cell r="B1411" t="str">
            <v>txc</v>
          </cell>
        </row>
        <row r="1412">
          <cell r="A1412" t="str">
            <v>txc-</v>
          </cell>
          <cell r="B1412" t="str">
            <v>txc</v>
          </cell>
        </row>
        <row r="1413">
          <cell r="A1413" t="str">
            <v>txc-</v>
          </cell>
          <cell r="B1413" t="str">
            <v>txc</v>
          </cell>
        </row>
        <row r="1414">
          <cell r="A1414" t="str">
            <v>txc-</v>
          </cell>
          <cell r="B1414" t="str">
            <v>txc</v>
          </cell>
        </row>
        <row r="1415">
          <cell r="A1415" t="str">
            <v>txc-</v>
          </cell>
          <cell r="B1415" t="str">
            <v>txc</v>
          </cell>
        </row>
        <row r="1416">
          <cell r="A1416" t="str">
            <v>txc-</v>
          </cell>
          <cell r="B1416" t="str">
            <v>txc</v>
          </cell>
        </row>
        <row r="1417">
          <cell r="A1417" t="str">
            <v>txc-</v>
          </cell>
          <cell r="B1417" t="str">
            <v>txc</v>
          </cell>
        </row>
        <row r="1418">
          <cell r="A1418" t="str">
            <v>txc-</v>
          </cell>
          <cell r="B1418" t="str">
            <v>txc</v>
          </cell>
        </row>
        <row r="1419">
          <cell r="A1419" t="str">
            <v>txc-</v>
          </cell>
          <cell r="B1419" t="str">
            <v>txc</v>
          </cell>
        </row>
        <row r="1420">
          <cell r="A1420" t="str">
            <v>txc-</v>
          </cell>
          <cell r="B1420" t="str">
            <v>txc</v>
          </cell>
        </row>
        <row r="1421">
          <cell r="A1421" t="str">
            <v>txc-</v>
          </cell>
          <cell r="B1421" t="str">
            <v>txc</v>
          </cell>
        </row>
        <row r="1422">
          <cell r="A1422" t="str">
            <v>txc-</v>
          </cell>
          <cell r="B1422" t="str">
            <v>txc</v>
          </cell>
        </row>
        <row r="1423">
          <cell r="A1423" t="str">
            <v>txc-</v>
          </cell>
          <cell r="B1423" t="str">
            <v>txc</v>
          </cell>
        </row>
        <row r="1424">
          <cell r="A1424" t="str">
            <v>txc-</v>
          </cell>
          <cell r="B1424" t="str">
            <v>txc</v>
          </cell>
        </row>
        <row r="1425">
          <cell r="A1425" t="str">
            <v>txc-</v>
          </cell>
          <cell r="B1425" t="str">
            <v>txc</v>
          </cell>
        </row>
        <row r="1426">
          <cell r="A1426" t="str">
            <v>txc-</v>
          </cell>
          <cell r="B1426" t="str">
            <v>txc</v>
          </cell>
        </row>
        <row r="1427">
          <cell r="A1427" t="str">
            <v>txc-</v>
          </cell>
          <cell r="B1427" t="str">
            <v>txc</v>
          </cell>
        </row>
        <row r="1428">
          <cell r="A1428" t="str">
            <v>txc-</v>
          </cell>
          <cell r="B1428" t="str">
            <v>txc</v>
          </cell>
        </row>
        <row r="1429">
          <cell r="A1429" t="str">
            <v>txc-</v>
          </cell>
          <cell r="B1429" t="str">
            <v>txc</v>
          </cell>
        </row>
        <row r="1430">
          <cell r="A1430" t="str">
            <v>txc-</v>
          </cell>
          <cell r="B1430" t="str">
            <v>txc</v>
          </cell>
        </row>
        <row r="1431">
          <cell r="A1431" t="str">
            <v>txc-</v>
          </cell>
          <cell r="B1431" t="str">
            <v>txc</v>
          </cell>
        </row>
        <row r="1432">
          <cell r="A1432" t="str">
            <v>txc-</v>
          </cell>
          <cell r="B1432" t="str">
            <v>txc</v>
          </cell>
        </row>
        <row r="1433">
          <cell r="A1433" t="str">
            <v>txc-</v>
          </cell>
          <cell r="B1433" t="str">
            <v>txc</v>
          </cell>
        </row>
        <row r="1434">
          <cell r="A1434" t="str">
            <v>txc-</v>
          </cell>
          <cell r="B1434" t="str">
            <v>txc</v>
          </cell>
        </row>
        <row r="1435">
          <cell r="A1435" t="str">
            <v>txc-</v>
          </cell>
          <cell r="B1435" t="str">
            <v>txc</v>
          </cell>
        </row>
        <row r="1436">
          <cell r="A1436" t="str">
            <v>txc-</v>
          </cell>
          <cell r="B1436" t="str">
            <v>txc</v>
          </cell>
        </row>
        <row r="1437">
          <cell r="A1437" t="str">
            <v>txc-</v>
          </cell>
          <cell r="B1437" t="str">
            <v>txc</v>
          </cell>
        </row>
        <row r="1438">
          <cell r="A1438" t="str">
            <v>txc-</v>
          </cell>
          <cell r="B1438" t="str">
            <v>txc</v>
          </cell>
        </row>
        <row r="1439">
          <cell r="A1439" t="str">
            <v>txc-</v>
          </cell>
          <cell r="B1439" t="str">
            <v>txc</v>
          </cell>
        </row>
        <row r="1440">
          <cell r="A1440" t="str">
            <v>txc-</v>
          </cell>
          <cell r="B1440" t="str">
            <v>txc</v>
          </cell>
        </row>
        <row r="1441">
          <cell r="A1441" t="str">
            <v>txc-</v>
          </cell>
          <cell r="B1441" t="str">
            <v>txc</v>
          </cell>
        </row>
        <row r="1442">
          <cell r="A1442" t="str">
            <v>txc-</v>
          </cell>
          <cell r="B1442" t="str">
            <v>txc</v>
          </cell>
        </row>
        <row r="1443">
          <cell r="A1443" t="str">
            <v>txc-</v>
          </cell>
          <cell r="B1443" t="str">
            <v>txc</v>
          </cell>
        </row>
        <row r="1444">
          <cell r="A1444" t="str">
            <v>txc-</v>
          </cell>
          <cell r="B1444" t="str">
            <v>txc</v>
          </cell>
        </row>
        <row r="1445">
          <cell r="A1445" t="str">
            <v>txc-</v>
          </cell>
          <cell r="B1445" t="str">
            <v>txc</v>
          </cell>
        </row>
        <row r="1446">
          <cell r="A1446" t="str">
            <v>txc-</v>
          </cell>
          <cell r="B1446" t="str">
            <v>txc</v>
          </cell>
        </row>
        <row r="1447">
          <cell r="A1447" t="str">
            <v>txc-</v>
          </cell>
          <cell r="B1447" t="str">
            <v>txc</v>
          </cell>
        </row>
        <row r="1448">
          <cell r="A1448" t="str">
            <v>txc-</v>
          </cell>
          <cell r="B1448" t="str">
            <v>txc</v>
          </cell>
        </row>
        <row r="1449">
          <cell r="A1449" t="str">
            <v>txc-</v>
          </cell>
          <cell r="B1449" t="str">
            <v>txc</v>
          </cell>
        </row>
        <row r="1450">
          <cell r="A1450" t="str">
            <v>txc-</v>
          </cell>
          <cell r="B1450" t="str">
            <v>txc</v>
          </cell>
        </row>
        <row r="1451">
          <cell r="A1451" t="str">
            <v>txc-</v>
          </cell>
          <cell r="B1451" t="str">
            <v>txc</v>
          </cell>
        </row>
        <row r="1452">
          <cell r="A1452" t="str">
            <v>txc-</v>
          </cell>
          <cell r="B1452" t="str">
            <v>txc</v>
          </cell>
        </row>
        <row r="1453">
          <cell r="A1453" t="str">
            <v>txc-</v>
          </cell>
          <cell r="B1453" t="str">
            <v>txc</v>
          </cell>
        </row>
        <row r="1454">
          <cell r="A1454" t="str">
            <v>txc-</v>
          </cell>
          <cell r="B1454" t="str">
            <v>txc</v>
          </cell>
        </row>
        <row r="1455">
          <cell r="A1455" t="str">
            <v>txc-</v>
          </cell>
          <cell r="B1455" t="str">
            <v>txc</v>
          </cell>
        </row>
        <row r="1456">
          <cell r="A1456" t="str">
            <v>txc-</v>
          </cell>
          <cell r="B1456" t="str">
            <v>txc</v>
          </cell>
        </row>
        <row r="1457">
          <cell r="A1457" t="str">
            <v>txc-</v>
          </cell>
          <cell r="B1457" t="str">
            <v>txc</v>
          </cell>
        </row>
        <row r="1458">
          <cell r="A1458" t="str">
            <v>txc-</v>
          </cell>
          <cell r="B1458" t="str">
            <v>txc</v>
          </cell>
        </row>
        <row r="1459">
          <cell r="A1459" t="str">
            <v>txc-</v>
          </cell>
          <cell r="B1459" t="str">
            <v>txc</v>
          </cell>
        </row>
        <row r="1460">
          <cell r="A1460" t="str">
            <v>txc-</v>
          </cell>
          <cell r="B1460" t="str">
            <v>txc</v>
          </cell>
        </row>
        <row r="1461">
          <cell r="A1461" t="str">
            <v>txc-</v>
          </cell>
          <cell r="B1461" t="str">
            <v>txc</v>
          </cell>
        </row>
        <row r="1462">
          <cell r="A1462" t="str">
            <v>txc-</v>
          </cell>
          <cell r="B1462" t="str">
            <v>txc</v>
          </cell>
        </row>
        <row r="1463">
          <cell r="A1463" t="str">
            <v>txc-</v>
          </cell>
          <cell r="B1463" t="str">
            <v>txc</v>
          </cell>
        </row>
        <row r="1464">
          <cell r="A1464" t="str">
            <v>txc-</v>
          </cell>
          <cell r="B1464" t="str">
            <v>txc</v>
          </cell>
        </row>
        <row r="1465">
          <cell r="A1465" t="str">
            <v>txc-</v>
          </cell>
          <cell r="B1465" t="str">
            <v>txc</v>
          </cell>
        </row>
        <row r="1466">
          <cell r="A1466" t="str">
            <v>txc-</v>
          </cell>
          <cell r="B1466" t="str">
            <v>txc</v>
          </cell>
        </row>
        <row r="1467">
          <cell r="A1467" t="str">
            <v>txc-</v>
          </cell>
          <cell r="B1467" t="str">
            <v>txc</v>
          </cell>
        </row>
        <row r="1468">
          <cell r="A1468" t="str">
            <v>txc-</v>
          </cell>
          <cell r="B1468" t="str">
            <v>txc</v>
          </cell>
        </row>
        <row r="1469">
          <cell r="A1469" t="str">
            <v>txc-</v>
          </cell>
          <cell r="B1469" t="str">
            <v>txc</v>
          </cell>
        </row>
        <row r="1470">
          <cell r="A1470" t="str">
            <v>txc-</v>
          </cell>
          <cell r="B1470" t="str">
            <v>txc</v>
          </cell>
        </row>
        <row r="1471">
          <cell r="A1471" t="str">
            <v>txc-</v>
          </cell>
          <cell r="B1471" t="str">
            <v>txc</v>
          </cell>
        </row>
        <row r="1472">
          <cell r="A1472" t="str">
            <v>txc-</v>
          </cell>
          <cell r="B1472" t="str">
            <v>txc</v>
          </cell>
        </row>
        <row r="1473">
          <cell r="A1473" t="str">
            <v>txc-</v>
          </cell>
          <cell r="B1473" t="str">
            <v>txc</v>
          </cell>
        </row>
        <row r="1474">
          <cell r="A1474" t="str">
            <v>txc-</v>
          </cell>
          <cell r="B1474" t="str">
            <v>txc</v>
          </cell>
        </row>
        <row r="1475">
          <cell r="A1475" t="str">
            <v>txc-</v>
          </cell>
          <cell r="B1475" t="str">
            <v>txc</v>
          </cell>
        </row>
        <row r="1476">
          <cell r="A1476" t="str">
            <v>txc-</v>
          </cell>
          <cell r="B1476" t="str">
            <v>txc</v>
          </cell>
        </row>
        <row r="1477">
          <cell r="A1477" t="str">
            <v>txc-</v>
          </cell>
          <cell r="B1477" t="str">
            <v>txc</v>
          </cell>
        </row>
        <row r="1478">
          <cell r="A1478" t="str">
            <v>txc-</v>
          </cell>
          <cell r="B1478" t="str">
            <v>txc</v>
          </cell>
        </row>
        <row r="1479">
          <cell r="A1479" t="str">
            <v>txc-</v>
          </cell>
          <cell r="B1479" t="str">
            <v>txc</v>
          </cell>
        </row>
        <row r="1480">
          <cell r="A1480" t="str">
            <v>txc-</v>
          </cell>
          <cell r="B1480" t="str">
            <v>txc</v>
          </cell>
        </row>
        <row r="1481">
          <cell r="A1481" t="str">
            <v>txc-</v>
          </cell>
          <cell r="B1481" t="str">
            <v>txc</v>
          </cell>
        </row>
        <row r="1482">
          <cell r="A1482" t="str">
            <v>txc-</v>
          </cell>
          <cell r="B1482" t="str">
            <v>txc</v>
          </cell>
        </row>
        <row r="1483">
          <cell r="A1483" t="str">
            <v>txc-</v>
          </cell>
          <cell r="B1483" t="str">
            <v>txc</v>
          </cell>
        </row>
        <row r="1484">
          <cell r="A1484" t="str">
            <v>txc-</v>
          </cell>
          <cell r="B1484" t="str">
            <v>txc</v>
          </cell>
        </row>
        <row r="1485">
          <cell r="A1485" t="str">
            <v>txc-</v>
          </cell>
          <cell r="B1485" t="str">
            <v>txc</v>
          </cell>
        </row>
        <row r="1486">
          <cell r="A1486" t="str">
            <v>txc-</v>
          </cell>
          <cell r="B1486" t="str">
            <v>txc</v>
          </cell>
        </row>
        <row r="1487">
          <cell r="A1487" t="str">
            <v>txc-</v>
          </cell>
          <cell r="B1487" t="str">
            <v>txc</v>
          </cell>
        </row>
        <row r="1488">
          <cell r="A1488" t="str">
            <v>txc-</v>
          </cell>
          <cell r="B1488" t="str">
            <v>txc</v>
          </cell>
        </row>
        <row r="1489">
          <cell r="A1489" t="str">
            <v>txc-</v>
          </cell>
          <cell r="B1489" t="str">
            <v>txc</v>
          </cell>
        </row>
        <row r="1490">
          <cell r="A1490" t="str">
            <v>txc-</v>
          </cell>
          <cell r="B1490" t="str">
            <v>txc</v>
          </cell>
        </row>
        <row r="1491">
          <cell r="A1491" t="str">
            <v>txc-</v>
          </cell>
          <cell r="B1491" t="str">
            <v>txc</v>
          </cell>
        </row>
        <row r="1492">
          <cell r="A1492" t="str">
            <v>txc-</v>
          </cell>
          <cell r="B1492" t="str">
            <v>txc</v>
          </cell>
        </row>
        <row r="1493">
          <cell r="A1493" t="str">
            <v>txc-</v>
          </cell>
          <cell r="B1493" t="str">
            <v>txc</v>
          </cell>
        </row>
        <row r="1494">
          <cell r="A1494" t="str">
            <v>txc-</v>
          </cell>
          <cell r="B1494" t="str">
            <v>txc</v>
          </cell>
        </row>
        <row r="1495">
          <cell r="A1495" t="str">
            <v>txc-</v>
          </cell>
          <cell r="B1495" t="str">
            <v>txc</v>
          </cell>
        </row>
        <row r="1496">
          <cell r="A1496" t="str">
            <v>txc-</v>
          </cell>
          <cell r="B1496" t="str">
            <v>txc</v>
          </cell>
        </row>
        <row r="1497">
          <cell r="A1497" t="str">
            <v>txc-</v>
          </cell>
          <cell r="B1497" t="str">
            <v>txc</v>
          </cell>
        </row>
        <row r="1498">
          <cell r="A1498" t="str">
            <v>txc-</v>
          </cell>
          <cell r="B1498" t="str">
            <v>txc</v>
          </cell>
        </row>
        <row r="1499">
          <cell r="A1499" t="str">
            <v>txc-</v>
          </cell>
          <cell r="B1499" t="str">
            <v>txc</v>
          </cell>
        </row>
        <row r="1500">
          <cell r="A1500" t="str">
            <v>txc-</v>
          </cell>
          <cell r="B1500" t="str">
            <v>txc</v>
          </cell>
        </row>
        <row r="1501">
          <cell r="A1501" t="str">
            <v>txc-</v>
          </cell>
          <cell r="B1501" t="str">
            <v>txc</v>
          </cell>
        </row>
        <row r="1502">
          <cell r="A1502" t="str">
            <v>txc-</v>
          </cell>
          <cell r="B1502" t="str">
            <v>txc</v>
          </cell>
        </row>
        <row r="1503">
          <cell r="A1503" t="str">
            <v>txc-</v>
          </cell>
          <cell r="B1503" t="str">
            <v>txc</v>
          </cell>
        </row>
        <row r="1504">
          <cell r="A1504" t="str">
            <v>txc-</v>
          </cell>
          <cell r="B1504" t="str">
            <v>txc</v>
          </cell>
        </row>
        <row r="1505">
          <cell r="A1505" t="str">
            <v>txc-</v>
          </cell>
          <cell r="B1505" t="str">
            <v>txc</v>
          </cell>
        </row>
        <row r="1506">
          <cell r="A1506" t="str">
            <v>txc-</v>
          </cell>
          <cell r="B1506" t="str">
            <v>txc</v>
          </cell>
        </row>
        <row r="1507">
          <cell r="A1507" t="str">
            <v>txc-</v>
          </cell>
          <cell r="B1507" t="str">
            <v>txc</v>
          </cell>
        </row>
        <row r="1508">
          <cell r="A1508" t="str">
            <v>txc-</v>
          </cell>
          <cell r="B1508" t="str">
            <v>txc</v>
          </cell>
        </row>
        <row r="1509">
          <cell r="A1509" t="str">
            <v>txc-</v>
          </cell>
          <cell r="B1509" t="str">
            <v>txc</v>
          </cell>
        </row>
        <row r="1510">
          <cell r="A1510" t="str">
            <v>txc-</v>
          </cell>
          <cell r="B1510" t="str">
            <v>txc</v>
          </cell>
        </row>
        <row r="1511">
          <cell r="A1511" t="str">
            <v>txc-</v>
          </cell>
          <cell r="B1511" t="str">
            <v>txc</v>
          </cell>
        </row>
        <row r="1512">
          <cell r="A1512" t="str">
            <v>txc-</v>
          </cell>
          <cell r="B1512" t="str">
            <v>txc</v>
          </cell>
        </row>
        <row r="1513">
          <cell r="A1513" t="str">
            <v>txc-</v>
          </cell>
          <cell r="B1513" t="str">
            <v>txc</v>
          </cell>
        </row>
        <row r="1514">
          <cell r="A1514" t="str">
            <v>txc-</v>
          </cell>
          <cell r="B1514" t="str">
            <v>txc</v>
          </cell>
        </row>
        <row r="1515">
          <cell r="A1515" t="str">
            <v>txc-</v>
          </cell>
          <cell r="B1515" t="str">
            <v>txc</v>
          </cell>
        </row>
        <row r="1516">
          <cell r="A1516" t="str">
            <v>txc-</v>
          </cell>
          <cell r="B1516" t="str">
            <v>txc</v>
          </cell>
        </row>
        <row r="1517">
          <cell r="A1517" t="str">
            <v>txc-</v>
          </cell>
          <cell r="B1517" t="str">
            <v>txc</v>
          </cell>
        </row>
        <row r="1518">
          <cell r="A1518" t="str">
            <v>txc-</v>
          </cell>
          <cell r="B1518" t="str">
            <v>txc</v>
          </cell>
        </row>
        <row r="1519">
          <cell r="A1519" t="str">
            <v>txc-</v>
          </cell>
          <cell r="B1519" t="str">
            <v>txc</v>
          </cell>
        </row>
        <row r="1520">
          <cell r="A1520" t="str">
            <v>txc-</v>
          </cell>
          <cell r="B1520" t="str">
            <v>txc</v>
          </cell>
        </row>
        <row r="1521">
          <cell r="A1521" t="str">
            <v>txc-</v>
          </cell>
          <cell r="B1521" t="str">
            <v>txc</v>
          </cell>
        </row>
        <row r="1522">
          <cell r="A1522" t="str">
            <v>txc-</v>
          </cell>
          <cell r="B1522" t="str">
            <v>txc</v>
          </cell>
        </row>
        <row r="1523">
          <cell r="A1523" t="str">
            <v>txc-</v>
          </cell>
          <cell r="B1523" t="str">
            <v>txc</v>
          </cell>
        </row>
        <row r="1524">
          <cell r="A1524" t="str">
            <v>txc-</v>
          </cell>
          <cell r="B1524" t="str">
            <v>txc</v>
          </cell>
        </row>
        <row r="1525">
          <cell r="A1525" t="str">
            <v>txc-</v>
          </cell>
          <cell r="B1525" t="str">
            <v>txc</v>
          </cell>
        </row>
        <row r="1526">
          <cell r="A1526" t="str">
            <v>txc-</v>
          </cell>
          <cell r="B1526" t="str">
            <v>txc</v>
          </cell>
        </row>
        <row r="1527">
          <cell r="A1527" t="str">
            <v>txc-</v>
          </cell>
          <cell r="B1527" t="str">
            <v>txc</v>
          </cell>
        </row>
        <row r="1528">
          <cell r="A1528" t="str">
            <v>txc-</v>
          </cell>
          <cell r="B1528" t="str">
            <v>txc</v>
          </cell>
        </row>
        <row r="1529">
          <cell r="A1529" t="str">
            <v>txc-</v>
          </cell>
          <cell r="B1529" t="str">
            <v>txc</v>
          </cell>
        </row>
        <row r="1530">
          <cell r="A1530" t="str">
            <v>txc-</v>
          </cell>
          <cell r="B1530" t="str">
            <v>txc</v>
          </cell>
        </row>
        <row r="1531">
          <cell r="A1531" t="str">
            <v>txc-</v>
          </cell>
          <cell r="B1531" t="str">
            <v>txc</v>
          </cell>
        </row>
        <row r="1532">
          <cell r="A1532" t="str">
            <v>txc-</v>
          </cell>
          <cell r="B1532" t="str">
            <v>txc</v>
          </cell>
        </row>
        <row r="1533">
          <cell r="A1533" t="str">
            <v>txc-</v>
          </cell>
          <cell r="B1533" t="str">
            <v>txc</v>
          </cell>
        </row>
        <row r="1534">
          <cell r="A1534" t="str">
            <v>txc-</v>
          </cell>
          <cell r="B1534" t="str">
            <v>txc</v>
          </cell>
        </row>
        <row r="1535">
          <cell r="A1535" t="str">
            <v>txc-</v>
          </cell>
          <cell r="B1535" t="str">
            <v>txc</v>
          </cell>
        </row>
        <row r="1536">
          <cell r="A1536" t="str">
            <v>txc-</v>
          </cell>
          <cell r="B1536" t="str">
            <v>txc</v>
          </cell>
        </row>
        <row r="1537">
          <cell r="A1537" t="str">
            <v>txc-</v>
          </cell>
          <cell r="B1537" t="str">
            <v>txc</v>
          </cell>
        </row>
        <row r="1538">
          <cell r="A1538" t="str">
            <v>txc-</v>
          </cell>
          <cell r="B1538" t="str">
            <v>txc</v>
          </cell>
        </row>
        <row r="1539">
          <cell r="A1539" t="str">
            <v>txc-</v>
          </cell>
          <cell r="B1539" t="str">
            <v>txc</v>
          </cell>
        </row>
        <row r="1540">
          <cell r="A1540" t="str">
            <v>txc-</v>
          </cell>
          <cell r="B1540" t="str">
            <v>txc</v>
          </cell>
        </row>
        <row r="1541">
          <cell r="A1541" t="str">
            <v>txc-</v>
          </cell>
          <cell r="B1541" t="str">
            <v>txc</v>
          </cell>
        </row>
        <row r="1542">
          <cell r="A1542" t="str">
            <v>txc-</v>
          </cell>
          <cell r="B1542" t="str">
            <v>txc</v>
          </cell>
        </row>
        <row r="1543">
          <cell r="A1543" t="str">
            <v>txc-</v>
          </cell>
          <cell r="B1543" t="str">
            <v>txc</v>
          </cell>
        </row>
        <row r="1544">
          <cell r="A1544" t="str">
            <v>txc-</v>
          </cell>
          <cell r="B1544" t="str">
            <v>txc</v>
          </cell>
        </row>
        <row r="1545">
          <cell r="A1545" t="str">
            <v>txc-</v>
          </cell>
          <cell r="B1545" t="str">
            <v>txc</v>
          </cell>
        </row>
        <row r="1546">
          <cell r="A1546" t="str">
            <v>txc-</v>
          </cell>
          <cell r="B1546" t="str">
            <v>txc</v>
          </cell>
        </row>
        <row r="1547">
          <cell r="A1547" t="str">
            <v>txc-</v>
          </cell>
          <cell r="B1547" t="str">
            <v>txc</v>
          </cell>
        </row>
        <row r="1548">
          <cell r="A1548" t="str">
            <v>txc-</v>
          </cell>
          <cell r="B1548" t="str">
            <v>txc</v>
          </cell>
        </row>
        <row r="1549">
          <cell r="A1549" t="str">
            <v>txc-</v>
          </cell>
          <cell r="B1549" t="str">
            <v>txc</v>
          </cell>
        </row>
        <row r="1550">
          <cell r="A1550" t="str">
            <v>txc-</v>
          </cell>
          <cell r="B1550" t="str">
            <v>txc</v>
          </cell>
        </row>
        <row r="1551">
          <cell r="A1551" t="str">
            <v>txc-</v>
          </cell>
          <cell r="B1551" t="str">
            <v>txc</v>
          </cell>
        </row>
        <row r="1552">
          <cell r="A1552" t="str">
            <v>txc-</v>
          </cell>
          <cell r="B1552" t="str">
            <v>txc</v>
          </cell>
        </row>
        <row r="1553">
          <cell r="A1553" t="str">
            <v>txc-</v>
          </cell>
          <cell r="B1553" t="str">
            <v>txc</v>
          </cell>
        </row>
        <row r="1554">
          <cell r="A1554" t="str">
            <v>txc-</v>
          </cell>
          <cell r="B1554" t="str">
            <v>txc</v>
          </cell>
        </row>
        <row r="1555">
          <cell r="A1555" t="str">
            <v>txc-</v>
          </cell>
          <cell r="B1555" t="str">
            <v>txc</v>
          </cell>
        </row>
        <row r="1556">
          <cell r="A1556" t="str">
            <v>txc-</v>
          </cell>
          <cell r="B1556" t="str">
            <v>txc</v>
          </cell>
        </row>
        <row r="1557">
          <cell r="A1557" t="str">
            <v>txc-</v>
          </cell>
          <cell r="B1557" t="str">
            <v>txc</v>
          </cell>
        </row>
        <row r="1558">
          <cell r="A1558" t="str">
            <v>txc-</v>
          </cell>
          <cell r="B1558" t="str">
            <v>txc</v>
          </cell>
        </row>
        <row r="1559">
          <cell r="A1559" t="str">
            <v>txc-</v>
          </cell>
          <cell r="B1559" t="str">
            <v>txc</v>
          </cell>
        </row>
        <row r="1560">
          <cell r="A1560" t="str">
            <v>txc-</v>
          </cell>
          <cell r="B1560" t="str">
            <v>txc</v>
          </cell>
        </row>
        <row r="1561">
          <cell r="A1561" t="str">
            <v>txc-</v>
          </cell>
          <cell r="B1561" t="str">
            <v>txc</v>
          </cell>
        </row>
        <row r="1562">
          <cell r="A1562" t="str">
            <v>txc-</v>
          </cell>
          <cell r="B1562" t="str">
            <v>txc</v>
          </cell>
        </row>
        <row r="1563">
          <cell r="A1563" t="str">
            <v>txc-</v>
          </cell>
          <cell r="B1563" t="str">
            <v>txc</v>
          </cell>
        </row>
        <row r="1564">
          <cell r="A1564" t="str">
            <v>txc-</v>
          </cell>
          <cell r="B1564" t="str">
            <v>txc</v>
          </cell>
        </row>
        <row r="1565">
          <cell r="A1565" t="str">
            <v>txc-</v>
          </cell>
          <cell r="B1565" t="str">
            <v>txc</v>
          </cell>
        </row>
        <row r="1566">
          <cell r="A1566" t="str">
            <v>txc-</v>
          </cell>
          <cell r="B1566" t="str">
            <v>txc</v>
          </cell>
        </row>
        <row r="1567">
          <cell r="A1567" t="str">
            <v>txc-</v>
          </cell>
          <cell r="B1567" t="str">
            <v>txc</v>
          </cell>
        </row>
        <row r="1568">
          <cell r="A1568" t="str">
            <v>txc-</v>
          </cell>
          <cell r="B1568" t="str">
            <v>txc</v>
          </cell>
        </row>
        <row r="1569">
          <cell r="A1569" t="str">
            <v>txc-</v>
          </cell>
          <cell r="B1569" t="str">
            <v>txc</v>
          </cell>
        </row>
        <row r="1570">
          <cell r="A1570" t="str">
            <v>txc-</v>
          </cell>
          <cell r="B1570" t="str">
            <v>txc</v>
          </cell>
        </row>
        <row r="1571">
          <cell r="A1571" t="str">
            <v>txc-</v>
          </cell>
          <cell r="B1571" t="str">
            <v>txc</v>
          </cell>
        </row>
        <row r="1572">
          <cell r="A1572" t="str">
            <v>txc-</v>
          </cell>
          <cell r="B1572" t="str">
            <v>txc</v>
          </cell>
        </row>
        <row r="1573">
          <cell r="A1573" t="str">
            <v>txc-</v>
          </cell>
          <cell r="B1573" t="str">
            <v>txc</v>
          </cell>
        </row>
        <row r="1574">
          <cell r="A1574" t="str">
            <v>txc-</v>
          </cell>
          <cell r="B1574" t="str">
            <v>txc</v>
          </cell>
        </row>
        <row r="1575">
          <cell r="A1575" t="str">
            <v>txc-</v>
          </cell>
          <cell r="B1575" t="str">
            <v>txc</v>
          </cell>
        </row>
        <row r="1576">
          <cell r="A1576" t="str">
            <v>txc-</v>
          </cell>
          <cell r="B1576" t="str">
            <v>txc</v>
          </cell>
        </row>
        <row r="1577">
          <cell r="A1577" t="str">
            <v>txc-</v>
          </cell>
          <cell r="B1577" t="str">
            <v>txc</v>
          </cell>
        </row>
        <row r="1578">
          <cell r="A1578" t="str">
            <v>txc-</v>
          </cell>
          <cell r="B1578" t="str">
            <v>txc</v>
          </cell>
        </row>
        <row r="1579">
          <cell r="A1579" t="str">
            <v>txc-</v>
          </cell>
          <cell r="B1579" t="str">
            <v>txc</v>
          </cell>
        </row>
        <row r="1580">
          <cell r="A1580" t="str">
            <v>txc-</v>
          </cell>
          <cell r="B1580" t="str">
            <v>txc</v>
          </cell>
        </row>
        <row r="1581">
          <cell r="A1581" t="str">
            <v>txc-</v>
          </cell>
          <cell r="B1581" t="str">
            <v>txc</v>
          </cell>
        </row>
        <row r="1582">
          <cell r="A1582" t="str">
            <v>txc-</v>
          </cell>
          <cell r="B1582" t="str">
            <v>txc</v>
          </cell>
        </row>
        <row r="1583">
          <cell r="A1583" t="str">
            <v>txc-</v>
          </cell>
          <cell r="B1583" t="str">
            <v>txc</v>
          </cell>
        </row>
        <row r="1584">
          <cell r="A1584" t="str">
            <v>txc-</v>
          </cell>
          <cell r="B1584" t="str">
            <v>txc</v>
          </cell>
        </row>
        <row r="1585">
          <cell r="A1585" t="str">
            <v>txc-</v>
          </cell>
          <cell r="B1585" t="str">
            <v>txc</v>
          </cell>
        </row>
        <row r="1586">
          <cell r="A1586" t="str">
            <v>txc-</v>
          </cell>
          <cell r="B1586" t="str">
            <v>txc</v>
          </cell>
        </row>
        <row r="1587">
          <cell r="A1587" t="str">
            <v>txc-</v>
          </cell>
          <cell r="B1587" t="str">
            <v>txc</v>
          </cell>
        </row>
        <row r="1588">
          <cell r="A1588" t="str">
            <v>txc-</v>
          </cell>
          <cell r="B1588" t="str">
            <v>txc</v>
          </cell>
        </row>
        <row r="1589">
          <cell r="A1589" t="str">
            <v>txc-</v>
          </cell>
          <cell r="B1589" t="str">
            <v>txc</v>
          </cell>
        </row>
        <row r="1590">
          <cell r="A1590" t="str">
            <v>txc-</v>
          </cell>
          <cell r="B1590" t="str">
            <v>txc</v>
          </cell>
        </row>
        <row r="1591">
          <cell r="A1591" t="str">
            <v>txc-</v>
          </cell>
          <cell r="B1591" t="str">
            <v>txc</v>
          </cell>
        </row>
        <row r="1592">
          <cell r="A1592" t="str">
            <v>txc-</v>
          </cell>
          <cell r="B1592" t="str">
            <v>txc</v>
          </cell>
        </row>
        <row r="1593">
          <cell r="A1593" t="str">
            <v>txc-</v>
          </cell>
          <cell r="B1593" t="str">
            <v>txc</v>
          </cell>
        </row>
        <row r="1594">
          <cell r="A1594" t="str">
            <v>txc-</v>
          </cell>
          <cell r="B1594" t="str">
            <v>txc</v>
          </cell>
        </row>
        <row r="1595">
          <cell r="A1595" t="str">
            <v>txc-</v>
          </cell>
          <cell r="B1595" t="str">
            <v>txc</v>
          </cell>
        </row>
        <row r="1596">
          <cell r="A1596" t="str">
            <v>txc-</v>
          </cell>
          <cell r="B1596" t="str">
            <v>txc</v>
          </cell>
        </row>
        <row r="1597">
          <cell r="A1597" t="str">
            <v>txc-</v>
          </cell>
          <cell r="B1597" t="str">
            <v>txc</v>
          </cell>
        </row>
        <row r="1598">
          <cell r="A1598" t="str">
            <v>txc-</v>
          </cell>
          <cell r="B1598" t="str">
            <v>txc</v>
          </cell>
        </row>
        <row r="1599">
          <cell r="A1599" t="str">
            <v>txc-</v>
          </cell>
          <cell r="B1599" t="str">
            <v>txc</v>
          </cell>
        </row>
        <row r="1600">
          <cell r="A1600" t="str">
            <v>txc-</v>
          </cell>
          <cell r="B1600" t="str">
            <v>txc</v>
          </cell>
        </row>
        <row r="1601">
          <cell r="A1601" t="str">
            <v>txc-</v>
          </cell>
          <cell r="B1601" t="str">
            <v>txc</v>
          </cell>
        </row>
        <row r="1602">
          <cell r="A1602" t="str">
            <v>txc-</v>
          </cell>
          <cell r="B1602" t="str">
            <v>txc</v>
          </cell>
        </row>
        <row r="1603">
          <cell r="A1603" t="str">
            <v>txc-</v>
          </cell>
          <cell r="B1603" t="str">
            <v>txc</v>
          </cell>
        </row>
        <row r="1604">
          <cell r="A1604" t="str">
            <v>txc-</v>
          </cell>
          <cell r="B1604" t="str">
            <v>txc</v>
          </cell>
        </row>
        <row r="1605">
          <cell r="A1605" t="str">
            <v>txc-</v>
          </cell>
          <cell r="B1605" t="str">
            <v>txc</v>
          </cell>
        </row>
        <row r="1606">
          <cell r="A1606" t="str">
            <v>txc-</v>
          </cell>
          <cell r="B1606" t="str">
            <v>txc</v>
          </cell>
        </row>
        <row r="1607">
          <cell r="A1607" t="str">
            <v>txc-</v>
          </cell>
          <cell r="B1607" t="str">
            <v>txc</v>
          </cell>
        </row>
        <row r="1608">
          <cell r="A1608" t="str">
            <v>txc-</v>
          </cell>
          <cell r="B1608" t="str">
            <v>txc</v>
          </cell>
        </row>
        <row r="1609">
          <cell r="A1609" t="str">
            <v>txc-</v>
          </cell>
          <cell r="B1609" t="str">
            <v>txc</v>
          </cell>
        </row>
        <row r="1610">
          <cell r="A1610" t="str">
            <v>txc-</v>
          </cell>
          <cell r="B1610" t="str">
            <v>txc</v>
          </cell>
        </row>
        <row r="1611">
          <cell r="A1611" t="str">
            <v>txc-</v>
          </cell>
          <cell r="B1611" t="str">
            <v>txc</v>
          </cell>
        </row>
        <row r="1612">
          <cell r="A1612" t="str">
            <v>txc-</v>
          </cell>
          <cell r="B1612" t="str">
            <v>txc</v>
          </cell>
        </row>
        <row r="1613">
          <cell r="A1613" t="str">
            <v>txc-</v>
          </cell>
          <cell r="B1613" t="str">
            <v>txc</v>
          </cell>
        </row>
        <row r="1614">
          <cell r="A1614" t="str">
            <v>txc-</v>
          </cell>
          <cell r="B1614" t="str">
            <v>txc</v>
          </cell>
        </row>
        <row r="1615">
          <cell r="A1615" t="str">
            <v>txc-</v>
          </cell>
          <cell r="B1615" t="str">
            <v>txc</v>
          </cell>
        </row>
        <row r="1616">
          <cell r="A1616" t="str">
            <v>txc-</v>
          </cell>
          <cell r="B1616" t="str">
            <v>txc</v>
          </cell>
        </row>
        <row r="1617">
          <cell r="A1617" t="str">
            <v>txc-</v>
          </cell>
          <cell r="B1617" t="str">
            <v>txc</v>
          </cell>
        </row>
        <row r="1618">
          <cell r="A1618" t="str">
            <v>txc-</v>
          </cell>
          <cell r="B1618" t="str">
            <v>txc</v>
          </cell>
        </row>
        <row r="1619">
          <cell r="A1619" t="str">
            <v>txc-</v>
          </cell>
          <cell r="B1619" t="str">
            <v>txc</v>
          </cell>
        </row>
        <row r="1620">
          <cell r="A1620" t="str">
            <v>txc-</v>
          </cell>
          <cell r="B1620" t="str">
            <v>txc</v>
          </cell>
        </row>
        <row r="1621">
          <cell r="A1621" t="str">
            <v>txc-</v>
          </cell>
          <cell r="B1621" t="str">
            <v>txc</v>
          </cell>
        </row>
        <row r="1622">
          <cell r="A1622" t="str">
            <v>txc-</v>
          </cell>
          <cell r="B1622" t="str">
            <v>txc</v>
          </cell>
        </row>
        <row r="1623">
          <cell r="A1623" t="str">
            <v>txc-</v>
          </cell>
          <cell r="B1623" t="str">
            <v>txc</v>
          </cell>
        </row>
        <row r="1624">
          <cell r="A1624" t="str">
            <v>txc-</v>
          </cell>
          <cell r="B1624" t="str">
            <v>txc</v>
          </cell>
        </row>
        <row r="1625">
          <cell r="A1625" t="str">
            <v>txc-</v>
          </cell>
          <cell r="B1625" t="str">
            <v>txc</v>
          </cell>
        </row>
        <row r="1626">
          <cell r="A1626" t="str">
            <v>txc-</v>
          </cell>
          <cell r="B1626" t="str">
            <v>txc</v>
          </cell>
        </row>
        <row r="1627">
          <cell r="A1627" t="str">
            <v>txc-</v>
          </cell>
          <cell r="B1627" t="str">
            <v>txc</v>
          </cell>
        </row>
        <row r="1628">
          <cell r="A1628" t="str">
            <v>txc-</v>
          </cell>
          <cell r="B1628" t="str">
            <v>txc</v>
          </cell>
        </row>
        <row r="1629">
          <cell r="A1629" t="str">
            <v>txc-</v>
          </cell>
          <cell r="B1629" t="str">
            <v>txc</v>
          </cell>
        </row>
        <row r="1630">
          <cell r="A1630" t="str">
            <v>txc-</v>
          </cell>
          <cell r="B1630" t="str">
            <v>txc</v>
          </cell>
        </row>
        <row r="1631">
          <cell r="A1631" t="str">
            <v>txc-</v>
          </cell>
          <cell r="B1631" t="str">
            <v>txc</v>
          </cell>
        </row>
        <row r="1632">
          <cell r="A1632" t="str">
            <v>txc-</v>
          </cell>
          <cell r="B1632" t="str">
            <v>txc</v>
          </cell>
        </row>
        <row r="1633">
          <cell r="A1633" t="str">
            <v>txc-</v>
          </cell>
          <cell r="B1633" t="str">
            <v>txc</v>
          </cell>
        </row>
        <row r="1634">
          <cell r="A1634" t="str">
            <v>txc-</v>
          </cell>
          <cell r="B1634" t="str">
            <v>txc</v>
          </cell>
        </row>
        <row r="1635">
          <cell r="A1635" t="str">
            <v>txc-</v>
          </cell>
          <cell r="B1635" t="str">
            <v>txc</v>
          </cell>
        </row>
        <row r="1636">
          <cell r="A1636" t="str">
            <v>txc-</v>
          </cell>
          <cell r="B1636" t="str">
            <v>txc</v>
          </cell>
        </row>
        <row r="1637">
          <cell r="A1637" t="str">
            <v>txc-</v>
          </cell>
          <cell r="B1637" t="str">
            <v>txc</v>
          </cell>
        </row>
        <row r="1638">
          <cell r="A1638" t="str">
            <v>txc-</v>
          </cell>
          <cell r="B1638" t="str">
            <v>txc</v>
          </cell>
        </row>
        <row r="1639">
          <cell r="A1639" t="str">
            <v>txc-</v>
          </cell>
          <cell r="B1639" t="str">
            <v>txc</v>
          </cell>
        </row>
        <row r="1640">
          <cell r="A1640" t="str">
            <v>txc-</v>
          </cell>
          <cell r="B1640" t="str">
            <v>txc</v>
          </cell>
        </row>
        <row r="1641">
          <cell r="A1641" t="str">
            <v>txc-</v>
          </cell>
          <cell r="B1641" t="str">
            <v>txc</v>
          </cell>
        </row>
        <row r="1642">
          <cell r="A1642" t="str">
            <v>txc-</v>
          </cell>
          <cell r="B1642" t="str">
            <v>txc</v>
          </cell>
        </row>
        <row r="1643">
          <cell r="A1643" t="str">
            <v>txc-</v>
          </cell>
          <cell r="B1643" t="str">
            <v>txc</v>
          </cell>
        </row>
        <row r="1644">
          <cell r="A1644" t="str">
            <v>txc-</v>
          </cell>
          <cell r="B1644" t="str">
            <v>txc</v>
          </cell>
        </row>
        <row r="1645">
          <cell r="A1645" t="str">
            <v>txc-</v>
          </cell>
          <cell r="B1645" t="str">
            <v>txc</v>
          </cell>
        </row>
        <row r="1646">
          <cell r="A1646" t="str">
            <v>txc-</v>
          </cell>
          <cell r="B1646" t="str">
            <v>txc</v>
          </cell>
        </row>
        <row r="1647">
          <cell r="A1647" t="str">
            <v>txc-</v>
          </cell>
          <cell r="B1647" t="str">
            <v>txc</v>
          </cell>
        </row>
        <row r="1648">
          <cell r="A1648" t="str">
            <v>txc-</v>
          </cell>
          <cell r="B1648" t="str">
            <v>txc</v>
          </cell>
        </row>
        <row r="1649">
          <cell r="A1649" t="str">
            <v>txc-</v>
          </cell>
          <cell r="B1649" t="str">
            <v>txc</v>
          </cell>
        </row>
        <row r="1650">
          <cell r="A1650" t="str">
            <v>txc-</v>
          </cell>
          <cell r="B1650" t="str">
            <v>txc</v>
          </cell>
        </row>
        <row r="1651">
          <cell r="A1651" t="str">
            <v>txc-</v>
          </cell>
          <cell r="B1651" t="str">
            <v>txc</v>
          </cell>
        </row>
        <row r="1652">
          <cell r="A1652" t="str">
            <v>txc-</v>
          </cell>
          <cell r="B1652" t="str">
            <v>txc</v>
          </cell>
        </row>
        <row r="1653">
          <cell r="A1653" t="str">
            <v>txc-</v>
          </cell>
          <cell r="B1653" t="str">
            <v>txc</v>
          </cell>
        </row>
        <row r="1654">
          <cell r="A1654" t="str">
            <v>txc-</v>
          </cell>
          <cell r="B1654" t="str">
            <v>txc</v>
          </cell>
        </row>
        <row r="1655">
          <cell r="A1655" t="str">
            <v>txc-</v>
          </cell>
          <cell r="B1655" t="str">
            <v>txc</v>
          </cell>
        </row>
        <row r="1656">
          <cell r="A1656" t="str">
            <v>txc-</v>
          </cell>
          <cell r="B1656" t="str">
            <v>txc</v>
          </cell>
        </row>
        <row r="1657">
          <cell r="A1657" t="str">
            <v>txc-</v>
          </cell>
          <cell r="B1657" t="str">
            <v>txc</v>
          </cell>
        </row>
        <row r="1658">
          <cell r="A1658" t="str">
            <v>txc-</v>
          </cell>
          <cell r="B1658" t="str">
            <v>txc</v>
          </cell>
        </row>
        <row r="1659">
          <cell r="A1659" t="str">
            <v>txc-</v>
          </cell>
          <cell r="B1659" t="str">
            <v>txc</v>
          </cell>
        </row>
        <row r="1660">
          <cell r="A1660" t="str">
            <v>txc-</v>
          </cell>
          <cell r="B1660" t="str">
            <v>txc</v>
          </cell>
        </row>
        <row r="1661">
          <cell r="A1661" t="str">
            <v>txc-</v>
          </cell>
          <cell r="B1661" t="str">
            <v>txc</v>
          </cell>
        </row>
        <row r="1662">
          <cell r="A1662" t="str">
            <v>txc-</v>
          </cell>
          <cell r="B1662" t="str">
            <v>txc</v>
          </cell>
        </row>
        <row r="1663">
          <cell r="A1663" t="str">
            <v>txc-</v>
          </cell>
          <cell r="B1663" t="str">
            <v>txc</v>
          </cell>
        </row>
        <row r="1664">
          <cell r="A1664" t="str">
            <v>txc-</v>
          </cell>
          <cell r="B1664" t="str">
            <v>txc</v>
          </cell>
        </row>
        <row r="1665">
          <cell r="A1665" t="str">
            <v>txc-</v>
          </cell>
          <cell r="B1665" t="str">
            <v>txc</v>
          </cell>
        </row>
        <row r="1666">
          <cell r="A1666" t="str">
            <v>txc-</v>
          </cell>
          <cell r="B1666" t="str">
            <v>txc</v>
          </cell>
        </row>
        <row r="1667">
          <cell r="A1667" t="str">
            <v>txc-</v>
          </cell>
          <cell r="B1667" t="str">
            <v>txc</v>
          </cell>
        </row>
        <row r="1668">
          <cell r="A1668" t="str">
            <v>txc-</v>
          </cell>
          <cell r="B1668" t="str">
            <v>txc</v>
          </cell>
        </row>
        <row r="1669">
          <cell r="A1669" t="str">
            <v>txc-</v>
          </cell>
          <cell r="B1669" t="str">
            <v>txc</v>
          </cell>
        </row>
        <row r="1670">
          <cell r="A1670" t="str">
            <v>txc-</v>
          </cell>
          <cell r="B1670" t="str">
            <v>txc</v>
          </cell>
        </row>
        <row r="1671">
          <cell r="A1671" t="str">
            <v>txc-</v>
          </cell>
          <cell r="B1671" t="str">
            <v>txc</v>
          </cell>
        </row>
        <row r="1672">
          <cell r="A1672" t="str">
            <v>txc-</v>
          </cell>
          <cell r="B1672" t="str">
            <v>txc</v>
          </cell>
        </row>
        <row r="1673">
          <cell r="A1673" t="str">
            <v>txc-</v>
          </cell>
          <cell r="B1673" t="str">
            <v>txc</v>
          </cell>
        </row>
        <row r="1674">
          <cell r="A1674" t="str">
            <v>txc-</v>
          </cell>
          <cell r="B1674" t="str">
            <v>txc</v>
          </cell>
        </row>
        <row r="1675">
          <cell r="A1675" t="str">
            <v>txc-</v>
          </cell>
          <cell r="B1675" t="str">
            <v>txc</v>
          </cell>
        </row>
        <row r="1676">
          <cell r="A1676" t="str">
            <v>txc-</v>
          </cell>
          <cell r="B1676" t="str">
            <v>txc</v>
          </cell>
        </row>
        <row r="1677">
          <cell r="A1677" t="str">
            <v>txc-</v>
          </cell>
          <cell r="B1677" t="str">
            <v>txc</v>
          </cell>
        </row>
        <row r="1678">
          <cell r="A1678" t="str">
            <v>txc-</v>
          </cell>
          <cell r="B1678" t="str">
            <v>txc</v>
          </cell>
        </row>
        <row r="1679">
          <cell r="A1679" t="str">
            <v>txc-</v>
          </cell>
          <cell r="B1679" t="str">
            <v>txc</v>
          </cell>
        </row>
        <row r="1680">
          <cell r="A1680" t="str">
            <v>txc-</v>
          </cell>
          <cell r="B1680" t="str">
            <v>txc</v>
          </cell>
        </row>
        <row r="1681">
          <cell r="A1681" t="str">
            <v>txc-</v>
          </cell>
          <cell r="B1681" t="str">
            <v>txc</v>
          </cell>
        </row>
        <row r="1682">
          <cell r="A1682" t="str">
            <v>txc-</v>
          </cell>
          <cell r="B1682" t="str">
            <v>txc</v>
          </cell>
        </row>
        <row r="1683">
          <cell r="A1683" t="str">
            <v>txc-</v>
          </cell>
          <cell r="B1683" t="str">
            <v>txc</v>
          </cell>
        </row>
        <row r="1684">
          <cell r="A1684" t="str">
            <v>txc-</v>
          </cell>
          <cell r="B1684" t="str">
            <v>txc</v>
          </cell>
        </row>
        <row r="1685">
          <cell r="A1685" t="str">
            <v>txc-</v>
          </cell>
          <cell r="B1685" t="str">
            <v>txc</v>
          </cell>
        </row>
        <row r="1686">
          <cell r="A1686" t="str">
            <v>txc-</v>
          </cell>
          <cell r="B1686" t="str">
            <v>txc</v>
          </cell>
        </row>
        <row r="1687">
          <cell r="A1687" t="str">
            <v>txc-</v>
          </cell>
          <cell r="B1687" t="str">
            <v>txc</v>
          </cell>
        </row>
        <row r="1688">
          <cell r="A1688" t="str">
            <v>txc-</v>
          </cell>
          <cell r="B1688" t="str">
            <v>txc</v>
          </cell>
        </row>
        <row r="1689">
          <cell r="A1689" t="str">
            <v>txc-</v>
          </cell>
          <cell r="B1689" t="str">
            <v>txc</v>
          </cell>
        </row>
        <row r="1690">
          <cell r="A1690" t="str">
            <v>txc-</v>
          </cell>
          <cell r="B1690" t="str">
            <v>txc</v>
          </cell>
        </row>
        <row r="1691">
          <cell r="A1691" t="str">
            <v>txc-</v>
          </cell>
          <cell r="B1691" t="str">
            <v>txc</v>
          </cell>
        </row>
        <row r="1692">
          <cell r="A1692" t="str">
            <v>txc-</v>
          </cell>
          <cell r="B1692" t="str">
            <v>txc</v>
          </cell>
        </row>
        <row r="1693">
          <cell r="A1693" t="str">
            <v>txc-</v>
          </cell>
          <cell r="B1693" t="str">
            <v>txc</v>
          </cell>
        </row>
        <row r="1694">
          <cell r="A1694" t="str">
            <v>txc-</v>
          </cell>
          <cell r="B1694" t="str">
            <v>txc</v>
          </cell>
        </row>
        <row r="1695">
          <cell r="A1695" t="str">
            <v>txc-</v>
          </cell>
          <cell r="B1695" t="str">
            <v>txc</v>
          </cell>
        </row>
        <row r="1696">
          <cell r="A1696" t="str">
            <v>txc-</v>
          </cell>
          <cell r="B1696" t="str">
            <v>txc</v>
          </cell>
        </row>
        <row r="1697">
          <cell r="A1697" t="str">
            <v>txc-</v>
          </cell>
          <cell r="B1697" t="str">
            <v>txc</v>
          </cell>
        </row>
        <row r="1698">
          <cell r="A1698" t="str">
            <v>txc-</v>
          </cell>
          <cell r="B1698" t="str">
            <v>txc</v>
          </cell>
        </row>
        <row r="1699">
          <cell r="A1699" t="str">
            <v>txc-</v>
          </cell>
          <cell r="B1699" t="str">
            <v>txc</v>
          </cell>
        </row>
        <row r="1700">
          <cell r="A1700" t="str">
            <v>txc-</v>
          </cell>
          <cell r="B1700" t="str">
            <v>txc</v>
          </cell>
        </row>
        <row r="1701">
          <cell r="A1701" t="str">
            <v>txc-</v>
          </cell>
          <cell r="B1701" t="str">
            <v>txc</v>
          </cell>
        </row>
        <row r="1702">
          <cell r="A1702" t="str">
            <v>txc-</v>
          </cell>
          <cell r="B1702" t="str">
            <v>txc</v>
          </cell>
        </row>
        <row r="1703">
          <cell r="A1703" t="str">
            <v>txc-</v>
          </cell>
          <cell r="B1703" t="str">
            <v>txc</v>
          </cell>
        </row>
        <row r="1704">
          <cell r="A1704" t="str">
            <v>txc-</v>
          </cell>
          <cell r="B1704" t="str">
            <v>txc</v>
          </cell>
        </row>
        <row r="1705">
          <cell r="A1705" t="str">
            <v>txc-</v>
          </cell>
          <cell r="B1705" t="str">
            <v>txc</v>
          </cell>
        </row>
        <row r="1706">
          <cell r="A1706" t="str">
            <v>txc-</v>
          </cell>
          <cell r="B1706" t="str">
            <v>txc</v>
          </cell>
        </row>
        <row r="1707">
          <cell r="A1707" t="str">
            <v>txc-</v>
          </cell>
          <cell r="B1707" t="str">
            <v>txc</v>
          </cell>
        </row>
        <row r="1708">
          <cell r="A1708" t="str">
            <v>txc-</v>
          </cell>
          <cell r="B1708" t="str">
            <v>txc</v>
          </cell>
        </row>
        <row r="1709">
          <cell r="A1709" t="str">
            <v>txc-</v>
          </cell>
          <cell r="B1709" t="str">
            <v>txc</v>
          </cell>
        </row>
        <row r="1710">
          <cell r="A1710" t="str">
            <v>txc-</v>
          </cell>
          <cell r="B1710" t="str">
            <v>txc</v>
          </cell>
        </row>
        <row r="1711">
          <cell r="A1711" t="str">
            <v>txc-</v>
          </cell>
          <cell r="B1711" t="str">
            <v>txc</v>
          </cell>
        </row>
        <row r="1712">
          <cell r="A1712" t="str">
            <v>txc-</v>
          </cell>
          <cell r="B1712" t="str">
            <v>txc</v>
          </cell>
        </row>
        <row r="1713">
          <cell r="A1713" t="str">
            <v>txc-</v>
          </cell>
          <cell r="B1713" t="str">
            <v>txc</v>
          </cell>
        </row>
        <row r="1714">
          <cell r="A1714" t="str">
            <v>txc-</v>
          </cell>
          <cell r="B1714" t="str">
            <v>txc</v>
          </cell>
        </row>
        <row r="1715">
          <cell r="A1715" t="str">
            <v>txc-</v>
          </cell>
          <cell r="B1715" t="str">
            <v>txc</v>
          </cell>
        </row>
        <row r="1716">
          <cell r="A1716" t="str">
            <v>txc-</v>
          </cell>
          <cell r="B1716" t="str">
            <v>txc</v>
          </cell>
        </row>
        <row r="1717">
          <cell r="A1717" t="str">
            <v>txc-</v>
          </cell>
          <cell r="B1717" t="str">
            <v>txc</v>
          </cell>
        </row>
        <row r="1718">
          <cell r="A1718" t="str">
            <v>txc-</v>
          </cell>
          <cell r="B1718" t="str">
            <v>txc</v>
          </cell>
        </row>
        <row r="1719">
          <cell r="A1719" t="str">
            <v>txc-</v>
          </cell>
          <cell r="B1719" t="str">
            <v>txc</v>
          </cell>
        </row>
        <row r="1720">
          <cell r="A1720" t="str">
            <v>txc-</v>
          </cell>
          <cell r="B1720" t="str">
            <v>txc</v>
          </cell>
        </row>
        <row r="1721">
          <cell r="A1721" t="str">
            <v>txc-</v>
          </cell>
          <cell r="B1721" t="str">
            <v>txc</v>
          </cell>
        </row>
        <row r="1722">
          <cell r="A1722" t="str">
            <v>txc-</v>
          </cell>
          <cell r="B1722" t="str">
            <v>txc</v>
          </cell>
        </row>
        <row r="1723">
          <cell r="A1723" t="str">
            <v>txc-</v>
          </cell>
          <cell r="B1723" t="str">
            <v>txc</v>
          </cell>
        </row>
        <row r="1724">
          <cell r="A1724" t="str">
            <v>txc-</v>
          </cell>
          <cell r="B1724" t="str">
            <v>txc</v>
          </cell>
        </row>
        <row r="1725">
          <cell r="A1725" t="str">
            <v>txc-</v>
          </cell>
          <cell r="B1725" t="str">
            <v>txc</v>
          </cell>
        </row>
        <row r="1726">
          <cell r="A1726" t="str">
            <v>txc-</v>
          </cell>
          <cell r="B1726" t="str">
            <v>txc</v>
          </cell>
        </row>
        <row r="1727">
          <cell r="A1727" t="str">
            <v>txc-</v>
          </cell>
          <cell r="B1727" t="str">
            <v>txc</v>
          </cell>
        </row>
        <row r="1728">
          <cell r="A1728" t="str">
            <v>txc-</v>
          </cell>
          <cell r="B1728" t="str">
            <v>txc</v>
          </cell>
        </row>
        <row r="1729">
          <cell r="A1729" t="str">
            <v>txc-</v>
          </cell>
          <cell r="B1729" t="str">
            <v>txc</v>
          </cell>
        </row>
        <row r="1730">
          <cell r="A1730" t="str">
            <v>txc-</v>
          </cell>
          <cell r="B1730" t="str">
            <v>txc</v>
          </cell>
        </row>
        <row r="1731">
          <cell r="A1731" t="str">
            <v>txc-</v>
          </cell>
          <cell r="B1731" t="str">
            <v>txc</v>
          </cell>
        </row>
        <row r="1732">
          <cell r="A1732" t="str">
            <v>txc-</v>
          </cell>
          <cell r="B1732" t="str">
            <v>txc</v>
          </cell>
        </row>
        <row r="1733">
          <cell r="A1733" t="str">
            <v>txc-</v>
          </cell>
          <cell r="B1733" t="str">
            <v>txc</v>
          </cell>
        </row>
        <row r="1734">
          <cell r="A1734" t="str">
            <v>txc-</v>
          </cell>
          <cell r="B1734" t="str">
            <v>txc</v>
          </cell>
        </row>
        <row r="1735">
          <cell r="A1735" t="str">
            <v>txc-</v>
          </cell>
          <cell r="B1735" t="str">
            <v>txc</v>
          </cell>
        </row>
        <row r="1736">
          <cell r="A1736" t="str">
            <v>txc-</v>
          </cell>
          <cell r="B1736" t="str">
            <v>txc</v>
          </cell>
        </row>
        <row r="1737">
          <cell r="A1737" t="str">
            <v>txc-</v>
          </cell>
          <cell r="B1737" t="str">
            <v>txc</v>
          </cell>
        </row>
        <row r="1738">
          <cell r="A1738" t="str">
            <v>txc-</v>
          </cell>
          <cell r="B1738" t="str">
            <v>txc</v>
          </cell>
        </row>
        <row r="1739">
          <cell r="A1739" t="str">
            <v>txc-</v>
          </cell>
          <cell r="B1739" t="str">
            <v>txc</v>
          </cell>
        </row>
        <row r="1740">
          <cell r="A1740" t="str">
            <v>txc-</v>
          </cell>
          <cell r="B1740" t="str">
            <v>txc</v>
          </cell>
        </row>
        <row r="1741">
          <cell r="A1741" t="str">
            <v>txc-</v>
          </cell>
          <cell r="B1741" t="str">
            <v>txc</v>
          </cell>
        </row>
        <row r="1742">
          <cell r="A1742" t="str">
            <v>txc-</v>
          </cell>
          <cell r="B1742" t="str">
            <v>txc</v>
          </cell>
        </row>
        <row r="1743">
          <cell r="A1743" t="str">
            <v>txc-</v>
          </cell>
          <cell r="B1743" t="str">
            <v>txc</v>
          </cell>
        </row>
        <row r="1744">
          <cell r="A1744" t="str">
            <v>txc-</v>
          </cell>
          <cell r="B1744" t="str">
            <v>txc</v>
          </cell>
        </row>
        <row r="1745">
          <cell r="A1745" t="str">
            <v>txc-</v>
          </cell>
          <cell r="B1745" t="str">
            <v>txc</v>
          </cell>
        </row>
        <row r="1746">
          <cell r="A1746" t="str">
            <v>txc-</v>
          </cell>
          <cell r="B1746" t="str">
            <v>txc</v>
          </cell>
        </row>
        <row r="1747">
          <cell r="A1747" t="str">
            <v>txc-</v>
          </cell>
          <cell r="B1747" t="str">
            <v>txc</v>
          </cell>
        </row>
        <row r="1748">
          <cell r="A1748" t="str">
            <v>txc-</v>
          </cell>
          <cell r="B1748" t="str">
            <v>txc</v>
          </cell>
        </row>
        <row r="1749">
          <cell r="A1749" t="str">
            <v>txc-</v>
          </cell>
          <cell r="B1749" t="str">
            <v>txc</v>
          </cell>
        </row>
        <row r="1750">
          <cell r="A1750" t="str">
            <v>txc-</v>
          </cell>
          <cell r="B1750" t="str">
            <v>txc</v>
          </cell>
        </row>
        <row r="1751">
          <cell r="A1751" t="str">
            <v>txc-</v>
          </cell>
          <cell r="B1751" t="str">
            <v>txc</v>
          </cell>
        </row>
        <row r="1752">
          <cell r="A1752" t="str">
            <v>txc-</v>
          </cell>
          <cell r="B1752" t="str">
            <v>txc</v>
          </cell>
        </row>
        <row r="1753">
          <cell r="A1753" t="str">
            <v>txc-</v>
          </cell>
          <cell r="B1753" t="str">
            <v>txc</v>
          </cell>
        </row>
        <row r="1754">
          <cell r="A1754" t="str">
            <v>txc-</v>
          </cell>
          <cell r="B1754" t="str">
            <v>txc</v>
          </cell>
        </row>
        <row r="1755">
          <cell r="A1755" t="str">
            <v>txc-</v>
          </cell>
          <cell r="B1755" t="str">
            <v>txc</v>
          </cell>
        </row>
        <row r="1756">
          <cell r="A1756" t="str">
            <v>txc-</v>
          </cell>
          <cell r="B1756" t="str">
            <v>txc</v>
          </cell>
        </row>
        <row r="1757">
          <cell r="A1757" t="str">
            <v>txc-</v>
          </cell>
          <cell r="B1757" t="str">
            <v>txc</v>
          </cell>
        </row>
        <row r="1758">
          <cell r="A1758" t="str">
            <v>txc-</v>
          </cell>
          <cell r="B1758" t="str">
            <v>txc</v>
          </cell>
        </row>
        <row r="1759">
          <cell r="A1759" t="str">
            <v>txc-</v>
          </cell>
          <cell r="B1759" t="str">
            <v>txc</v>
          </cell>
        </row>
        <row r="1760">
          <cell r="A1760" t="str">
            <v>txc-</v>
          </cell>
          <cell r="B1760" t="str">
            <v>txc</v>
          </cell>
        </row>
        <row r="1761">
          <cell r="A1761" t="str">
            <v>txc-</v>
          </cell>
          <cell r="B1761" t="str">
            <v>txc</v>
          </cell>
        </row>
        <row r="1762">
          <cell r="A1762" t="str">
            <v>txc-</v>
          </cell>
          <cell r="B1762" t="str">
            <v>txc</v>
          </cell>
        </row>
        <row r="1763">
          <cell r="A1763" t="str">
            <v>txc-</v>
          </cell>
          <cell r="B1763" t="str">
            <v>txc</v>
          </cell>
        </row>
        <row r="1764">
          <cell r="A1764" t="str">
            <v>txc-</v>
          </cell>
          <cell r="B1764" t="str">
            <v>txc</v>
          </cell>
        </row>
        <row r="1765">
          <cell r="A1765" t="str">
            <v>txc-</v>
          </cell>
          <cell r="B1765" t="str">
            <v>txc</v>
          </cell>
        </row>
        <row r="1766">
          <cell r="A1766" t="str">
            <v>txc-</v>
          </cell>
          <cell r="B1766" t="str">
            <v>txc</v>
          </cell>
        </row>
        <row r="1767">
          <cell r="A1767" t="str">
            <v>txc-</v>
          </cell>
          <cell r="B1767" t="str">
            <v>txc</v>
          </cell>
        </row>
        <row r="1768">
          <cell r="A1768" t="str">
            <v>txc-</v>
          </cell>
          <cell r="B1768" t="str">
            <v>txc</v>
          </cell>
        </row>
        <row r="1769">
          <cell r="A1769" t="str">
            <v>txc-</v>
          </cell>
          <cell r="B1769" t="str">
            <v>txc</v>
          </cell>
        </row>
        <row r="1770">
          <cell r="A1770" t="str">
            <v>txc-</v>
          </cell>
          <cell r="B1770" t="str">
            <v>txc</v>
          </cell>
        </row>
        <row r="1771">
          <cell r="A1771" t="str">
            <v>txc-</v>
          </cell>
          <cell r="B1771" t="str">
            <v>txc</v>
          </cell>
        </row>
        <row r="1772">
          <cell r="A1772" t="str">
            <v>txc-</v>
          </cell>
          <cell r="B1772" t="str">
            <v>txc</v>
          </cell>
        </row>
        <row r="1773">
          <cell r="A1773" t="str">
            <v>txc-</v>
          </cell>
          <cell r="B1773" t="str">
            <v>txc</v>
          </cell>
        </row>
        <row r="1774">
          <cell r="A1774" t="str">
            <v>txc-</v>
          </cell>
          <cell r="B1774" t="str">
            <v>txc</v>
          </cell>
        </row>
        <row r="1775">
          <cell r="A1775" t="str">
            <v>txc-</v>
          </cell>
          <cell r="B1775" t="str">
            <v>txc</v>
          </cell>
        </row>
        <row r="1776">
          <cell r="A1776" t="str">
            <v>txc-</v>
          </cell>
          <cell r="B1776" t="str">
            <v>txc</v>
          </cell>
        </row>
        <row r="1777">
          <cell r="A1777" t="str">
            <v>txc-</v>
          </cell>
          <cell r="B1777" t="str">
            <v>txc</v>
          </cell>
        </row>
        <row r="1778">
          <cell r="A1778" t="str">
            <v>txc-</v>
          </cell>
          <cell r="B1778" t="str">
            <v>txc</v>
          </cell>
        </row>
        <row r="1779">
          <cell r="A1779" t="str">
            <v>txc-</v>
          </cell>
          <cell r="B1779" t="str">
            <v>txc</v>
          </cell>
        </row>
        <row r="1780">
          <cell r="A1780" t="str">
            <v>txc-</v>
          </cell>
          <cell r="B1780" t="str">
            <v>txc</v>
          </cell>
        </row>
        <row r="1781">
          <cell r="A1781" t="str">
            <v>txc-</v>
          </cell>
          <cell r="B1781" t="str">
            <v>txc</v>
          </cell>
        </row>
        <row r="1782">
          <cell r="A1782" t="str">
            <v>txc-</v>
          </cell>
          <cell r="B1782" t="str">
            <v>txc</v>
          </cell>
        </row>
        <row r="1783">
          <cell r="A1783" t="str">
            <v>txc-</v>
          </cell>
          <cell r="B1783" t="str">
            <v>txc</v>
          </cell>
        </row>
        <row r="1784">
          <cell r="A1784" t="str">
            <v>txc-</v>
          </cell>
          <cell r="B1784" t="str">
            <v>txc</v>
          </cell>
        </row>
        <row r="1785">
          <cell r="A1785" t="str">
            <v>txc-</v>
          </cell>
          <cell r="B1785" t="str">
            <v>txc</v>
          </cell>
        </row>
        <row r="1786">
          <cell r="A1786" t="str">
            <v>txc-</v>
          </cell>
          <cell r="B1786" t="str">
            <v>txc</v>
          </cell>
        </row>
        <row r="1787">
          <cell r="A1787" t="str">
            <v>txc-</v>
          </cell>
          <cell r="B1787" t="str">
            <v>txc</v>
          </cell>
        </row>
        <row r="1788">
          <cell r="A1788" t="str">
            <v>txc-</v>
          </cell>
          <cell r="B1788" t="str">
            <v>txc</v>
          </cell>
        </row>
        <row r="1789">
          <cell r="A1789" t="str">
            <v>txc-</v>
          </cell>
          <cell r="B1789" t="str">
            <v>txc</v>
          </cell>
        </row>
        <row r="1790">
          <cell r="A1790" t="str">
            <v>txc-</v>
          </cell>
          <cell r="B1790" t="str">
            <v>txc</v>
          </cell>
        </row>
        <row r="1791">
          <cell r="A1791" t="str">
            <v>txc-</v>
          </cell>
          <cell r="B1791" t="str">
            <v>txc</v>
          </cell>
        </row>
        <row r="1792">
          <cell r="A1792" t="str">
            <v>txc-</v>
          </cell>
          <cell r="B1792" t="str">
            <v>txc</v>
          </cell>
        </row>
        <row r="1793">
          <cell r="A1793" t="str">
            <v>txc-</v>
          </cell>
          <cell r="B1793" t="str">
            <v>txc</v>
          </cell>
        </row>
        <row r="1794">
          <cell r="A1794" t="str">
            <v>txc-</v>
          </cell>
          <cell r="B1794" t="str">
            <v>txc</v>
          </cell>
        </row>
        <row r="1795">
          <cell r="A1795" t="str">
            <v>txc-</v>
          </cell>
          <cell r="B1795" t="str">
            <v>txc</v>
          </cell>
        </row>
        <row r="1796">
          <cell r="A1796" t="str">
            <v>txc-</v>
          </cell>
          <cell r="B1796" t="str">
            <v>txc</v>
          </cell>
        </row>
        <row r="1797">
          <cell r="A1797" t="str">
            <v>txc-</v>
          </cell>
          <cell r="B1797" t="str">
            <v>txc</v>
          </cell>
        </row>
        <row r="1798">
          <cell r="A1798" t="str">
            <v>txc-</v>
          </cell>
          <cell r="B1798" t="str">
            <v>txc</v>
          </cell>
        </row>
        <row r="1799">
          <cell r="A1799" t="str">
            <v>txc-</v>
          </cell>
          <cell r="B1799" t="str">
            <v>txc</v>
          </cell>
        </row>
        <row r="1800">
          <cell r="A1800" t="str">
            <v>txc-</v>
          </cell>
          <cell r="B1800" t="str">
            <v>txc</v>
          </cell>
        </row>
        <row r="1801">
          <cell r="A1801" t="str">
            <v>txc-</v>
          </cell>
          <cell r="B1801" t="str">
            <v>txc</v>
          </cell>
        </row>
        <row r="1802">
          <cell r="A1802" t="str">
            <v>txc-</v>
          </cell>
          <cell r="B1802" t="str">
            <v>txc</v>
          </cell>
        </row>
        <row r="1803">
          <cell r="A1803" t="str">
            <v>txc-</v>
          </cell>
          <cell r="B1803" t="str">
            <v>txc</v>
          </cell>
        </row>
        <row r="1804">
          <cell r="A1804" t="str">
            <v>txc-</v>
          </cell>
          <cell r="B1804" t="str">
            <v>txc</v>
          </cell>
        </row>
        <row r="1805">
          <cell r="A1805" t="str">
            <v>txc-</v>
          </cell>
          <cell r="B1805" t="str">
            <v>txc</v>
          </cell>
        </row>
        <row r="1806">
          <cell r="A1806" t="str">
            <v>txc-</v>
          </cell>
          <cell r="B1806" t="str">
            <v>txc</v>
          </cell>
        </row>
        <row r="1807">
          <cell r="A1807" t="str">
            <v>txc-</v>
          </cell>
          <cell r="B1807" t="str">
            <v>txc</v>
          </cell>
        </row>
        <row r="1808">
          <cell r="A1808" t="str">
            <v>txc-</v>
          </cell>
          <cell r="B1808" t="str">
            <v>txc</v>
          </cell>
        </row>
        <row r="1809">
          <cell r="A1809" t="str">
            <v>txc-</v>
          </cell>
          <cell r="B1809" t="str">
            <v>txc</v>
          </cell>
        </row>
        <row r="1810">
          <cell r="A1810" t="str">
            <v>txc-</v>
          </cell>
          <cell r="B1810" t="str">
            <v>txc</v>
          </cell>
        </row>
        <row r="1811">
          <cell r="A1811" t="str">
            <v>txc-</v>
          </cell>
          <cell r="B1811" t="str">
            <v>txc</v>
          </cell>
        </row>
        <row r="1812">
          <cell r="A1812" t="str">
            <v>txc-</v>
          </cell>
          <cell r="B1812" t="str">
            <v>txc</v>
          </cell>
        </row>
        <row r="1813">
          <cell r="A1813" t="str">
            <v>txc-</v>
          </cell>
          <cell r="B1813" t="str">
            <v>txc</v>
          </cell>
        </row>
        <row r="1814">
          <cell r="A1814" t="str">
            <v>txc-</v>
          </cell>
          <cell r="B1814" t="str">
            <v>txc</v>
          </cell>
        </row>
        <row r="1815">
          <cell r="A1815" t="str">
            <v>txc-</v>
          </cell>
          <cell r="B1815" t="str">
            <v>txc</v>
          </cell>
        </row>
        <row r="1816">
          <cell r="A1816" t="str">
            <v>txc-</v>
          </cell>
          <cell r="B1816" t="str">
            <v>txc</v>
          </cell>
        </row>
        <row r="1817">
          <cell r="A1817" t="str">
            <v>txc-</v>
          </cell>
          <cell r="B1817" t="str">
            <v>txc</v>
          </cell>
        </row>
        <row r="1818">
          <cell r="A1818" t="str">
            <v>txc-</v>
          </cell>
          <cell r="B1818" t="str">
            <v>txc</v>
          </cell>
        </row>
        <row r="1819">
          <cell r="A1819" t="str">
            <v>txc-</v>
          </cell>
          <cell r="B1819" t="str">
            <v>txc</v>
          </cell>
        </row>
        <row r="1820">
          <cell r="A1820" t="str">
            <v>txc-</v>
          </cell>
          <cell r="B1820" t="str">
            <v>txc</v>
          </cell>
        </row>
        <row r="1821">
          <cell r="A1821" t="str">
            <v>txc-</v>
          </cell>
          <cell r="B1821" t="str">
            <v>txc</v>
          </cell>
        </row>
        <row r="1822">
          <cell r="A1822" t="str">
            <v>txc-</v>
          </cell>
          <cell r="B1822" t="str">
            <v>txc</v>
          </cell>
        </row>
        <row r="1823">
          <cell r="A1823" t="str">
            <v>txc-</v>
          </cell>
          <cell r="B1823" t="str">
            <v>txc</v>
          </cell>
        </row>
        <row r="1824">
          <cell r="A1824" t="str">
            <v>txc-</v>
          </cell>
          <cell r="B1824" t="str">
            <v>txc</v>
          </cell>
        </row>
        <row r="1825">
          <cell r="A1825" t="str">
            <v>txc-</v>
          </cell>
          <cell r="B1825" t="str">
            <v>txc</v>
          </cell>
        </row>
        <row r="1826">
          <cell r="A1826" t="str">
            <v>txc-</v>
          </cell>
          <cell r="B1826" t="str">
            <v>txc</v>
          </cell>
        </row>
        <row r="1827">
          <cell r="A1827" t="str">
            <v>txc-</v>
          </cell>
          <cell r="B1827" t="str">
            <v>txc</v>
          </cell>
        </row>
        <row r="1828">
          <cell r="A1828" t="str">
            <v>txc-</v>
          </cell>
          <cell r="B1828" t="str">
            <v>txc</v>
          </cell>
        </row>
        <row r="1829">
          <cell r="A1829" t="str">
            <v>txc-</v>
          </cell>
          <cell r="B1829" t="str">
            <v>txc</v>
          </cell>
        </row>
        <row r="1830">
          <cell r="A1830" t="str">
            <v>txc-</v>
          </cell>
          <cell r="B1830" t="str">
            <v>txc</v>
          </cell>
        </row>
        <row r="1831">
          <cell r="A1831" t="str">
            <v>txc-</v>
          </cell>
          <cell r="B1831" t="str">
            <v>txc</v>
          </cell>
        </row>
        <row r="1832">
          <cell r="A1832" t="str">
            <v>txc-</v>
          </cell>
          <cell r="B1832" t="str">
            <v>txc</v>
          </cell>
        </row>
        <row r="1833">
          <cell r="A1833" t="str">
            <v>txc-</v>
          </cell>
          <cell r="B1833" t="str">
            <v>txc</v>
          </cell>
        </row>
        <row r="1834">
          <cell r="A1834" t="str">
            <v>txc-</v>
          </cell>
          <cell r="B1834" t="str">
            <v>txc</v>
          </cell>
        </row>
        <row r="1835">
          <cell r="A1835" t="str">
            <v>txc-</v>
          </cell>
          <cell r="B1835" t="str">
            <v>txc</v>
          </cell>
        </row>
        <row r="1836">
          <cell r="A1836" t="str">
            <v>txc-</v>
          </cell>
          <cell r="B1836" t="str">
            <v>txc</v>
          </cell>
        </row>
        <row r="1837">
          <cell r="A1837" t="str">
            <v>txc-</v>
          </cell>
          <cell r="B1837" t="str">
            <v>txc</v>
          </cell>
        </row>
        <row r="1838">
          <cell r="A1838" t="str">
            <v>txc-</v>
          </cell>
          <cell r="B1838" t="str">
            <v>txc</v>
          </cell>
        </row>
        <row r="1839">
          <cell r="A1839" t="str">
            <v>txc-</v>
          </cell>
          <cell r="B1839" t="str">
            <v>txc</v>
          </cell>
        </row>
        <row r="1840">
          <cell r="A1840" t="str">
            <v>txc-</v>
          </cell>
          <cell r="B1840" t="str">
            <v>txc</v>
          </cell>
        </row>
        <row r="1841">
          <cell r="A1841" t="str">
            <v>txc-</v>
          </cell>
          <cell r="B1841" t="str">
            <v>txc</v>
          </cell>
        </row>
        <row r="1842">
          <cell r="A1842" t="str">
            <v>txc-</v>
          </cell>
          <cell r="B1842" t="str">
            <v>txc</v>
          </cell>
        </row>
        <row r="1843">
          <cell r="A1843" t="str">
            <v>txc-</v>
          </cell>
          <cell r="B1843" t="str">
            <v>txc</v>
          </cell>
        </row>
        <row r="1844">
          <cell r="A1844" t="str">
            <v>txc-</v>
          </cell>
          <cell r="B1844" t="str">
            <v>txc</v>
          </cell>
        </row>
        <row r="1845">
          <cell r="A1845" t="str">
            <v>txc-</v>
          </cell>
          <cell r="B1845" t="str">
            <v>txc</v>
          </cell>
        </row>
        <row r="1846">
          <cell r="A1846" t="str">
            <v>txc-</v>
          </cell>
          <cell r="B1846" t="str">
            <v>txc</v>
          </cell>
        </row>
        <row r="1847">
          <cell r="A1847" t="str">
            <v>txc-</v>
          </cell>
          <cell r="B1847" t="str">
            <v>txc</v>
          </cell>
        </row>
        <row r="1848">
          <cell r="A1848" t="str">
            <v>txc-</v>
          </cell>
          <cell r="B1848" t="str">
            <v>txc</v>
          </cell>
        </row>
        <row r="1849">
          <cell r="A1849" t="str">
            <v>txc-</v>
          </cell>
          <cell r="B1849" t="str">
            <v>txc</v>
          </cell>
        </row>
        <row r="1850">
          <cell r="A1850" t="str">
            <v>txc-</v>
          </cell>
          <cell r="B1850" t="str">
            <v>txc</v>
          </cell>
        </row>
        <row r="1851">
          <cell r="A1851" t="str">
            <v>txc-</v>
          </cell>
          <cell r="B1851" t="str">
            <v>txc</v>
          </cell>
        </row>
        <row r="1852">
          <cell r="A1852" t="str">
            <v>txc-</v>
          </cell>
          <cell r="B1852" t="str">
            <v>txc</v>
          </cell>
        </row>
        <row r="1853">
          <cell r="A1853" t="str">
            <v>txc-</v>
          </cell>
          <cell r="B1853" t="str">
            <v>txc</v>
          </cell>
        </row>
        <row r="1854">
          <cell r="A1854" t="str">
            <v>txc-</v>
          </cell>
          <cell r="B1854" t="str">
            <v>txc</v>
          </cell>
        </row>
        <row r="1855">
          <cell r="A1855" t="str">
            <v>txc-</v>
          </cell>
          <cell r="B1855" t="str">
            <v>txc</v>
          </cell>
        </row>
        <row r="1856">
          <cell r="A1856" t="str">
            <v>txc-</v>
          </cell>
          <cell r="B1856" t="str">
            <v>txc</v>
          </cell>
        </row>
        <row r="1857">
          <cell r="A1857" t="str">
            <v>txc-</v>
          </cell>
          <cell r="B1857" t="str">
            <v>txc</v>
          </cell>
        </row>
        <row r="1858">
          <cell r="A1858" t="str">
            <v>txc-</v>
          </cell>
          <cell r="B1858" t="str">
            <v>txc</v>
          </cell>
        </row>
        <row r="1859">
          <cell r="A1859" t="str">
            <v>txc-</v>
          </cell>
          <cell r="B1859" t="str">
            <v>txc</v>
          </cell>
        </row>
        <row r="1860">
          <cell r="A1860" t="str">
            <v>txc-</v>
          </cell>
          <cell r="B1860" t="str">
            <v>txc</v>
          </cell>
        </row>
        <row r="1861">
          <cell r="A1861" t="str">
            <v>txc-</v>
          </cell>
          <cell r="B1861" t="str">
            <v>txc</v>
          </cell>
        </row>
        <row r="1862">
          <cell r="A1862" t="str">
            <v>txc-</v>
          </cell>
          <cell r="B1862" t="str">
            <v>txc</v>
          </cell>
        </row>
        <row r="1863">
          <cell r="A1863" t="str">
            <v>txc-</v>
          </cell>
          <cell r="B1863" t="str">
            <v>txc</v>
          </cell>
        </row>
        <row r="1864">
          <cell r="A1864" t="str">
            <v>txc-</v>
          </cell>
          <cell r="B1864" t="str">
            <v>txc</v>
          </cell>
        </row>
        <row r="1865">
          <cell r="A1865" t="str">
            <v>txc-</v>
          </cell>
          <cell r="B1865" t="str">
            <v>txc</v>
          </cell>
        </row>
        <row r="1866">
          <cell r="A1866" t="str">
            <v>txc-</v>
          </cell>
          <cell r="B1866" t="str">
            <v>txc</v>
          </cell>
        </row>
        <row r="1867">
          <cell r="A1867" t="str">
            <v>txc-</v>
          </cell>
          <cell r="B1867" t="str">
            <v>txc</v>
          </cell>
        </row>
        <row r="1868">
          <cell r="A1868" t="str">
            <v>txc-</v>
          </cell>
          <cell r="B1868" t="str">
            <v>txc</v>
          </cell>
        </row>
        <row r="1869">
          <cell r="A1869" t="str">
            <v>txc-</v>
          </cell>
          <cell r="B1869" t="str">
            <v>txc</v>
          </cell>
        </row>
        <row r="1870">
          <cell r="A1870" t="str">
            <v>txc-</v>
          </cell>
          <cell r="B1870" t="str">
            <v>txc</v>
          </cell>
        </row>
        <row r="1871">
          <cell r="A1871" t="str">
            <v>txc-</v>
          </cell>
          <cell r="B1871" t="str">
            <v>txc</v>
          </cell>
        </row>
        <row r="1872">
          <cell r="A1872" t="str">
            <v>txc-</v>
          </cell>
          <cell r="B1872" t="str">
            <v>txc</v>
          </cell>
        </row>
        <row r="1873">
          <cell r="A1873" t="str">
            <v>txc-</v>
          </cell>
          <cell r="B1873" t="str">
            <v>txc</v>
          </cell>
        </row>
        <row r="1874">
          <cell r="A1874" t="str">
            <v>txc-</v>
          </cell>
          <cell r="B1874" t="str">
            <v>txc</v>
          </cell>
        </row>
        <row r="1875">
          <cell r="A1875" t="str">
            <v>txc-</v>
          </cell>
          <cell r="B1875" t="str">
            <v>txc</v>
          </cell>
        </row>
        <row r="1876">
          <cell r="A1876" t="str">
            <v>txc-</v>
          </cell>
          <cell r="B1876" t="str">
            <v>txc</v>
          </cell>
        </row>
        <row r="1877">
          <cell r="A1877" t="str">
            <v>txc-</v>
          </cell>
          <cell r="B1877" t="str">
            <v>txc</v>
          </cell>
        </row>
        <row r="1878">
          <cell r="A1878" t="str">
            <v>txc-</v>
          </cell>
          <cell r="B1878" t="str">
            <v>txc</v>
          </cell>
        </row>
        <row r="1879">
          <cell r="A1879" t="str">
            <v>txc-</v>
          </cell>
          <cell r="B1879" t="str">
            <v>txc</v>
          </cell>
        </row>
        <row r="1880">
          <cell r="A1880" t="str">
            <v>txc-</v>
          </cell>
          <cell r="B1880" t="str">
            <v>txc</v>
          </cell>
        </row>
        <row r="1881">
          <cell r="A1881" t="str">
            <v>txc-</v>
          </cell>
          <cell r="B1881" t="str">
            <v>txc</v>
          </cell>
        </row>
        <row r="1882">
          <cell r="A1882" t="str">
            <v>txc-</v>
          </cell>
          <cell r="B1882" t="str">
            <v>txc</v>
          </cell>
        </row>
        <row r="1883">
          <cell r="A1883" t="str">
            <v>txc-</v>
          </cell>
          <cell r="B1883" t="str">
            <v>txc</v>
          </cell>
        </row>
        <row r="1884">
          <cell r="A1884" t="str">
            <v>txc-</v>
          </cell>
          <cell r="B1884" t="str">
            <v>txc</v>
          </cell>
        </row>
        <row r="1885">
          <cell r="A1885" t="str">
            <v>txc-</v>
          </cell>
          <cell r="B1885" t="str">
            <v>txc</v>
          </cell>
        </row>
        <row r="1886">
          <cell r="A1886" t="str">
            <v>txc-</v>
          </cell>
          <cell r="B1886" t="str">
            <v>txc</v>
          </cell>
        </row>
        <row r="1887">
          <cell r="A1887" t="str">
            <v>txc-</v>
          </cell>
          <cell r="B1887" t="str">
            <v>txc</v>
          </cell>
        </row>
        <row r="1888">
          <cell r="A1888" t="str">
            <v>txc-</v>
          </cell>
          <cell r="B1888" t="str">
            <v>txc</v>
          </cell>
        </row>
        <row r="1889">
          <cell r="A1889" t="str">
            <v>txc-</v>
          </cell>
          <cell r="B1889" t="str">
            <v>txc</v>
          </cell>
        </row>
        <row r="1890">
          <cell r="A1890" t="str">
            <v>txc-</v>
          </cell>
          <cell r="B1890" t="str">
            <v>txc</v>
          </cell>
        </row>
        <row r="1891">
          <cell r="A1891" t="str">
            <v>txc-</v>
          </cell>
          <cell r="B1891" t="str">
            <v>txc</v>
          </cell>
        </row>
        <row r="1892">
          <cell r="A1892" t="str">
            <v>txc-</v>
          </cell>
          <cell r="B1892" t="str">
            <v>txc</v>
          </cell>
        </row>
        <row r="1893">
          <cell r="A1893" t="str">
            <v>txc-</v>
          </cell>
          <cell r="B1893" t="str">
            <v>txc</v>
          </cell>
        </row>
        <row r="1894">
          <cell r="A1894" t="str">
            <v>txc-</v>
          </cell>
          <cell r="B1894" t="str">
            <v>txc</v>
          </cell>
        </row>
        <row r="1895">
          <cell r="A1895" t="str">
            <v>txc-</v>
          </cell>
          <cell r="B1895" t="str">
            <v>txc</v>
          </cell>
        </row>
        <row r="1896">
          <cell r="A1896" t="str">
            <v>txc-</v>
          </cell>
          <cell r="B1896" t="str">
            <v>txc</v>
          </cell>
        </row>
        <row r="1897">
          <cell r="A1897" t="str">
            <v>txc-</v>
          </cell>
          <cell r="B1897" t="str">
            <v>txc</v>
          </cell>
        </row>
        <row r="1898">
          <cell r="A1898" t="str">
            <v>txc-</v>
          </cell>
          <cell r="B1898" t="str">
            <v>txc</v>
          </cell>
        </row>
        <row r="1899">
          <cell r="A1899" t="str">
            <v>txc-</v>
          </cell>
          <cell r="B1899" t="str">
            <v>txc</v>
          </cell>
        </row>
        <row r="1900">
          <cell r="A1900" t="str">
            <v>txc-</v>
          </cell>
          <cell r="B1900" t="str">
            <v>txc</v>
          </cell>
        </row>
        <row r="1901">
          <cell r="A1901" t="str">
            <v>txc-</v>
          </cell>
          <cell r="B1901" t="str">
            <v>txc</v>
          </cell>
        </row>
        <row r="1902">
          <cell r="A1902" t="str">
            <v>txc-</v>
          </cell>
          <cell r="B1902" t="str">
            <v>txc</v>
          </cell>
        </row>
        <row r="1903">
          <cell r="A1903" t="str">
            <v>txc-</v>
          </cell>
          <cell r="B1903" t="str">
            <v>txc</v>
          </cell>
        </row>
        <row r="1904">
          <cell r="A1904" t="str">
            <v>txc-</v>
          </cell>
          <cell r="B1904" t="str">
            <v>txc</v>
          </cell>
        </row>
        <row r="1905">
          <cell r="A1905" t="str">
            <v>txc-</v>
          </cell>
          <cell r="B1905" t="str">
            <v>txc</v>
          </cell>
        </row>
        <row r="1906">
          <cell r="A1906" t="str">
            <v>txc-</v>
          </cell>
          <cell r="B1906" t="str">
            <v>txc</v>
          </cell>
        </row>
        <row r="1907">
          <cell r="A1907" t="str">
            <v>txc-</v>
          </cell>
          <cell r="B1907" t="str">
            <v>txc</v>
          </cell>
        </row>
        <row r="1908">
          <cell r="A1908" t="str">
            <v>txc-</v>
          </cell>
          <cell r="B1908" t="str">
            <v>txc</v>
          </cell>
        </row>
        <row r="1909">
          <cell r="A1909" t="str">
            <v>txc-</v>
          </cell>
          <cell r="B1909" t="str">
            <v>txc</v>
          </cell>
        </row>
        <row r="1910">
          <cell r="A1910" t="str">
            <v>txc-</v>
          </cell>
          <cell r="B1910" t="str">
            <v>txc</v>
          </cell>
        </row>
        <row r="1911">
          <cell r="A1911" t="str">
            <v>txc-</v>
          </cell>
          <cell r="B1911" t="str">
            <v>txc</v>
          </cell>
        </row>
        <row r="1912">
          <cell r="A1912" t="str">
            <v>txc-</v>
          </cell>
          <cell r="B1912" t="str">
            <v>txc</v>
          </cell>
        </row>
        <row r="1913">
          <cell r="A1913" t="str">
            <v>txc-</v>
          </cell>
          <cell r="B1913" t="str">
            <v>txc</v>
          </cell>
        </row>
        <row r="1914">
          <cell r="A1914" t="str">
            <v>txc-</v>
          </cell>
          <cell r="B1914" t="str">
            <v>txc</v>
          </cell>
        </row>
        <row r="1915">
          <cell r="A1915" t="str">
            <v>txc-</v>
          </cell>
          <cell r="B1915" t="str">
            <v>txc</v>
          </cell>
        </row>
        <row r="1916">
          <cell r="A1916" t="str">
            <v>txc-</v>
          </cell>
          <cell r="B1916" t="str">
            <v>txc</v>
          </cell>
        </row>
        <row r="1917">
          <cell r="A1917" t="str">
            <v>txc-</v>
          </cell>
          <cell r="B1917" t="str">
            <v>txc</v>
          </cell>
        </row>
        <row r="1918">
          <cell r="A1918" t="str">
            <v>txc-</v>
          </cell>
          <cell r="B1918" t="str">
            <v>txc</v>
          </cell>
        </row>
        <row r="1919">
          <cell r="A1919" t="str">
            <v>txc-</v>
          </cell>
          <cell r="B1919" t="str">
            <v>txc</v>
          </cell>
        </row>
        <row r="1920">
          <cell r="A1920" t="str">
            <v>txc-</v>
          </cell>
          <cell r="B1920" t="str">
            <v>txc</v>
          </cell>
        </row>
        <row r="1921">
          <cell r="A1921" t="str">
            <v>txc-</v>
          </cell>
          <cell r="B1921" t="str">
            <v>txc</v>
          </cell>
        </row>
        <row r="1922">
          <cell r="A1922" t="str">
            <v>txc-</v>
          </cell>
          <cell r="B1922" t="str">
            <v>txc</v>
          </cell>
        </row>
        <row r="1923">
          <cell r="A1923" t="str">
            <v>txc-</v>
          </cell>
          <cell r="B1923" t="str">
            <v>txc</v>
          </cell>
        </row>
        <row r="1924">
          <cell r="A1924" t="str">
            <v>txc-</v>
          </cell>
          <cell r="B1924" t="str">
            <v>txc</v>
          </cell>
        </row>
        <row r="1925">
          <cell r="A1925" t="str">
            <v>txc-</v>
          </cell>
          <cell r="B1925" t="str">
            <v>txc</v>
          </cell>
        </row>
        <row r="1926">
          <cell r="A1926" t="str">
            <v>txc-</v>
          </cell>
          <cell r="B1926" t="str">
            <v>txc</v>
          </cell>
        </row>
        <row r="1927">
          <cell r="A1927" t="str">
            <v>txc-</v>
          </cell>
          <cell r="B1927" t="str">
            <v>txc</v>
          </cell>
        </row>
        <row r="1928">
          <cell r="A1928" t="str">
            <v>txc-</v>
          </cell>
          <cell r="B1928" t="str">
            <v>txc</v>
          </cell>
        </row>
        <row r="1929">
          <cell r="A1929" t="str">
            <v>txc-</v>
          </cell>
          <cell r="B1929" t="str">
            <v>txc</v>
          </cell>
        </row>
        <row r="1930">
          <cell r="A1930" t="str">
            <v>txc-</v>
          </cell>
          <cell r="B1930" t="str">
            <v>txc</v>
          </cell>
        </row>
        <row r="1931">
          <cell r="A1931" t="str">
            <v>txc-</v>
          </cell>
          <cell r="B1931" t="str">
            <v>txc</v>
          </cell>
        </row>
        <row r="1932">
          <cell r="A1932" t="str">
            <v>txc-</v>
          </cell>
          <cell r="B1932" t="str">
            <v>txc</v>
          </cell>
        </row>
        <row r="1933">
          <cell r="A1933" t="str">
            <v>txc-</v>
          </cell>
          <cell r="B1933" t="str">
            <v>txc</v>
          </cell>
        </row>
        <row r="1934">
          <cell r="A1934" t="str">
            <v>txc-</v>
          </cell>
          <cell r="B1934" t="str">
            <v>txc</v>
          </cell>
        </row>
        <row r="1935">
          <cell r="A1935" t="str">
            <v>txc-</v>
          </cell>
          <cell r="B1935" t="str">
            <v>txc</v>
          </cell>
        </row>
        <row r="1936">
          <cell r="A1936" t="str">
            <v>txc-</v>
          </cell>
          <cell r="B1936" t="str">
            <v>txc</v>
          </cell>
        </row>
        <row r="1937">
          <cell r="A1937" t="str">
            <v>txc-</v>
          </cell>
          <cell r="B1937" t="str">
            <v>txc</v>
          </cell>
        </row>
        <row r="1938">
          <cell r="A1938" t="str">
            <v>txc-</v>
          </cell>
          <cell r="B1938" t="str">
            <v>txc</v>
          </cell>
        </row>
        <row r="1939">
          <cell r="A1939" t="str">
            <v>txc-</v>
          </cell>
          <cell r="B1939" t="str">
            <v>txc</v>
          </cell>
        </row>
        <row r="1940">
          <cell r="A1940" t="str">
            <v>txc-</v>
          </cell>
          <cell r="B1940" t="str">
            <v>txc</v>
          </cell>
        </row>
        <row r="1941">
          <cell r="A1941" t="str">
            <v>txc-</v>
          </cell>
          <cell r="B1941" t="str">
            <v>txc</v>
          </cell>
        </row>
        <row r="1942">
          <cell r="A1942" t="str">
            <v>txc-</v>
          </cell>
          <cell r="B1942" t="str">
            <v>txc</v>
          </cell>
        </row>
        <row r="1943">
          <cell r="A1943" t="str">
            <v>txc-</v>
          </cell>
          <cell r="B1943" t="str">
            <v>txc</v>
          </cell>
        </row>
        <row r="1944">
          <cell r="A1944" t="str">
            <v>txc-</v>
          </cell>
          <cell r="B1944" t="str">
            <v>txc</v>
          </cell>
        </row>
        <row r="1945">
          <cell r="A1945" t="str">
            <v>txc-</v>
          </cell>
          <cell r="B1945" t="str">
            <v>txc</v>
          </cell>
        </row>
        <row r="1946">
          <cell r="A1946" t="str">
            <v>txc-</v>
          </cell>
          <cell r="B1946" t="str">
            <v>txc</v>
          </cell>
        </row>
        <row r="1947">
          <cell r="A1947" t="str">
            <v>txc-</v>
          </cell>
          <cell r="B1947" t="str">
            <v>txc</v>
          </cell>
        </row>
        <row r="1948">
          <cell r="A1948" t="str">
            <v>txc-</v>
          </cell>
          <cell r="B1948" t="str">
            <v>txc</v>
          </cell>
        </row>
        <row r="1949">
          <cell r="A1949" t="str">
            <v>txc-</v>
          </cell>
          <cell r="B1949" t="str">
            <v>txc</v>
          </cell>
        </row>
        <row r="1950">
          <cell r="A1950" t="str">
            <v>txc-</v>
          </cell>
          <cell r="B1950" t="str">
            <v>txc</v>
          </cell>
        </row>
        <row r="1951">
          <cell r="A1951" t="str">
            <v>txc-</v>
          </cell>
          <cell r="B1951" t="str">
            <v>txc</v>
          </cell>
        </row>
        <row r="1952">
          <cell r="A1952" t="str">
            <v>txc-</v>
          </cell>
          <cell r="B1952" t="str">
            <v>txc</v>
          </cell>
        </row>
        <row r="1953">
          <cell r="A1953" t="str">
            <v>txc-</v>
          </cell>
          <cell r="B1953" t="str">
            <v>txc</v>
          </cell>
        </row>
        <row r="1954">
          <cell r="A1954" t="str">
            <v>txc-</v>
          </cell>
          <cell r="B1954" t="str">
            <v>txc</v>
          </cell>
        </row>
        <row r="1955">
          <cell r="A1955" t="str">
            <v>txc-</v>
          </cell>
          <cell r="B1955" t="str">
            <v>txc</v>
          </cell>
        </row>
        <row r="1956">
          <cell r="A1956" t="str">
            <v>txc-</v>
          </cell>
          <cell r="B1956" t="str">
            <v>txc</v>
          </cell>
        </row>
        <row r="1957">
          <cell r="A1957" t="str">
            <v>txc-</v>
          </cell>
          <cell r="B1957" t="str">
            <v>txc</v>
          </cell>
        </row>
        <row r="1958">
          <cell r="A1958" t="str">
            <v>txc-</v>
          </cell>
          <cell r="B1958" t="str">
            <v>txc</v>
          </cell>
        </row>
        <row r="1959">
          <cell r="A1959" t="str">
            <v>txc-</v>
          </cell>
          <cell r="B1959" t="str">
            <v>txc</v>
          </cell>
        </row>
        <row r="1960">
          <cell r="A1960" t="str">
            <v>txc-</v>
          </cell>
          <cell r="B1960" t="str">
            <v>txc</v>
          </cell>
        </row>
        <row r="1961">
          <cell r="A1961" t="str">
            <v>txc-</v>
          </cell>
          <cell r="B1961" t="str">
            <v>txc</v>
          </cell>
        </row>
        <row r="1962">
          <cell r="A1962" t="str">
            <v>txc-</v>
          </cell>
          <cell r="B1962" t="str">
            <v>txc</v>
          </cell>
        </row>
        <row r="1963">
          <cell r="A1963" t="str">
            <v>txc-</v>
          </cell>
          <cell r="B1963" t="str">
            <v>txc</v>
          </cell>
        </row>
        <row r="1964">
          <cell r="A1964" t="str">
            <v>txc-</v>
          </cell>
          <cell r="B1964" t="str">
            <v>txc</v>
          </cell>
        </row>
        <row r="1965">
          <cell r="A1965" t="str">
            <v>txc-</v>
          </cell>
          <cell r="B1965" t="str">
            <v>txc</v>
          </cell>
        </row>
        <row r="1966">
          <cell r="A1966" t="str">
            <v>txc-</v>
          </cell>
          <cell r="B1966" t="str">
            <v>txc</v>
          </cell>
        </row>
        <row r="1967">
          <cell r="A1967" t="str">
            <v>txc-</v>
          </cell>
          <cell r="B1967" t="str">
            <v>txc</v>
          </cell>
        </row>
        <row r="1968">
          <cell r="A1968" t="str">
            <v>txc-</v>
          </cell>
          <cell r="B1968" t="str">
            <v>txc</v>
          </cell>
        </row>
        <row r="1969">
          <cell r="A1969" t="str">
            <v>txc-</v>
          </cell>
          <cell r="B1969" t="str">
            <v>txc</v>
          </cell>
        </row>
        <row r="1970">
          <cell r="A1970" t="str">
            <v>txc-</v>
          </cell>
          <cell r="B1970" t="str">
            <v>txc</v>
          </cell>
        </row>
        <row r="1971">
          <cell r="A1971" t="str">
            <v>txc-</v>
          </cell>
          <cell r="B1971" t="str">
            <v>txc</v>
          </cell>
        </row>
        <row r="1972">
          <cell r="A1972" t="str">
            <v>txc-</v>
          </cell>
          <cell r="B1972" t="str">
            <v>txc</v>
          </cell>
        </row>
        <row r="1973">
          <cell r="A1973" t="str">
            <v>txc-</v>
          </cell>
          <cell r="B1973" t="str">
            <v>txc</v>
          </cell>
        </row>
        <row r="1974">
          <cell r="A1974" t="str">
            <v>txc-</v>
          </cell>
          <cell r="B1974" t="str">
            <v>txc</v>
          </cell>
        </row>
        <row r="1975">
          <cell r="A1975" t="str">
            <v>txc-</v>
          </cell>
          <cell r="B1975" t="str">
            <v>txc</v>
          </cell>
        </row>
        <row r="1976">
          <cell r="A1976" t="str">
            <v>txc-</v>
          </cell>
          <cell r="B1976" t="str">
            <v>txc</v>
          </cell>
        </row>
        <row r="1977">
          <cell r="A1977" t="str">
            <v>txc-</v>
          </cell>
          <cell r="B1977" t="str">
            <v>txc</v>
          </cell>
        </row>
        <row r="1978">
          <cell r="A1978" t="str">
            <v>txc-</v>
          </cell>
          <cell r="B1978" t="str">
            <v>txc</v>
          </cell>
        </row>
        <row r="1979">
          <cell r="A1979" t="str">
            <v>txc-</v>
          </cell>
          <cell r="B1979" t="str">
            <v>txc</v>
          </cell>
        </row>
        <row r="1980">
          <cell r="A1980" t="str">
            <v>txc-</v>
          </cell>
          <cell r="B1980" t="str">
            <v>txc</v>
          </cell>
        </row>
        <row r="1981">
          <cell r="A1981" t="str">
            <v>txc-</v>
          </cell>
          <cell r="B1981" t="str">
            <v>txc</v>
          </cell>
        </row>
        <row r="1982">
          <cell r="A1982" t="str">
            <v>txc-</v>
          </cell>
          <cell r="B1982" t="str">
            <v>txc</v>
          </cell>
        </row>
        <row r="1983">
          <cell r="A1983" t="str">
            <v>txc-</v>
          </cell>
          <cell r="B1983" t="str">
            <v>txc</v>
          </cell>
        </row>
        <row r="1984">
          <cell r="A1984" t="str">
            <v>txc-</v>
          </cell>
          <cell r="B1984" t="str">
            <v>txc</v>
          </cell>
        </row>
        <row r="1985">
          <cell r="A1985" t="str">
            <v>txc-</v>
          </cell>
          <cell r="B1985" t="str">
            <v>txc</v>
          </cell>
        </row>
        <row r="1986">
          <cell r="A1986" t="str">
            <v>txc-</v>
          </cell>
          <cell r="B1986" t="str">
            <v>txc</v>
          </cell>
        </row>
        <row r="1987">
          <cell r="A1987" t="str">
            <v>txc-</v>
          </cell>
          <cell r="B1987" t="str">
            <v>txc</v>
          </cell>
        </row>
        <row r="1988">
          <cell r="A1988" t="str">
            <v>txc-</v>
          </cell>
          <cell r="B1988" t="str">
            <v>txc</v>
          </cell>
        </row>
        <row r="1989">
          <cell r="A1989" t="str">
            <v>txc-</v>
          </cell>
          <cell r="B1989" t="str">
            <v>txc</v>
          </cell>
        </row>
        <row r="1990">
          <cell r="A1990" t="str">
            <v>txc-</v>
          </cell>
          <cell r="B1990" t="str">
            <v>txc</v>
          </cell>
        </row>
        <row r="1991">
          <cell r="A1991" t="str">
            <v>txc-</v>
          </cell>
          <cell r="B1991" t="str">
            <v>txc</v>
          </cell>
        </row>
        <row r="1992">
          <cell r="A1992" t="str">
            <v>txc-</v>
          </cell>
          <cell r="B1992" t="str">
            <v>txc</v>
          </cell>
        </row>
        <row r="1993">
          <cell r="A1993" t="str">
            <v>txc-</v>
          </cell>
          <cell r="B1993" t="str">
            <v>txc</v>
          </cell>
        </row>
        <row r="1994">
          <cell r="A1994" t="str">
            <v>txc-</v>
          </cell>
          <cell r="B1994" t="str">
            <v>txc</v>
          </cell>
        </row>
        <row r="1995">
          <cell r="A1995" t="str">
            <v>txc-</v>
          </cell>
          <cell r="B1995" t="str">
            <v>txc</v>
          </cell>
        </row>
        <row r="1996">
          <cell r="A1996" t="str">
            <v>txc-</v>
          </cell>
          <cell r="B1996" t="str">
            <v>txc</v>
          </cell>
        </row>
        <row r="1997">
          <cell r="A1997" t="str">
            <v>txc-</v>
          </cell>
          <cell r="B1997" t="str">
            <v>txc</v>
          </cell>
        </row>
        <row r="1998">
          <cell r="A1998" t="str">
            <v>txc-</v>
          </cell>
          <cell r="B1998" t="str">
            <v>txc</v>
          </cell>
        </row>
        <row r="1999">
          <cell r="A1999" t="str">
            <v>txc-</v>
          </cell>
          <cell r="B1999" t="str">
            <v>txc</v>
          </cell>
        </row>
        <row r="2000">
          <cell r="A2000" t="str">
            <v>txc-</v>
          </cell>
          <cell r="B2000" t="str">
            <v>txc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resas"/>
      <sheetName val="1"/>
      <sheetName val="2"/>
      <sheetName val="3"/>
      <sheetName val="4"/>
      <sheetName val="5"/>
      <sheetName val="6"/>
      <sheetName val="7"/>
      <sheetName val="9"/>
      <sheetName val="10"/>
      <sheetName val="Ubicación Medición Frecuencias"/>
      <sheetName val="Servicios a Medir por Punto"/>
      <sheetName val="8"/>
      <sheetName val="tabla inf"/>
      <sheetName val="todos los recorridos"/>
      <sheetName val="Terminales"/>
      <sheetName val="Circunvalaciones"/>
    </sheetNames>
    <sheetDataSet>
      <sheetData sheetId="0">
        <row r="11">
          <cell r="G11">
            <v>2084</v>
          </cell>
        </row>
        <row r="13">
          <cell r="F13">
            <v>21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resas_lineas"/>
      <sheetName val="Puntos_Medición_Frecuencias"/>
      <sheetName val="Servicios a Medir por Punto"/>
      <sheetName val="DIC"/>
      <sheetName val="TARIFAS"/>
      <sheetName val="resumen_dic"/>
      <sheetName val="codigo estraus por sentido"/>
    </sheetNames>
    <sheetDataSet>
      <sheetData sheetId="0">
        <row r="180">
          <cell r="H180">
            <v>4993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224"/>
  <sheetViews>
    <sheetView workbookViewId="0">
      <selection activeCell="E3" sqref="E3"/>
    </sheetView>
  </sheetViews>
  <sheetFormatPr baseColWidth="10" defaultRowHeight="12" x14ac:dyDescent="0.2"/>
  <cols>
    <col min="1" max="1" width="6" style="2" customWidth="1"/>
    <col min="2" max="2" width="7" style="2" customWidth="1"/>
    <col min="3" max="3" width="7.85546875" style="1" customWidth="1"/>
    <col min="4" max="4" width="6" style="2" customWidth="1"/>
    <col min="5" max="5" width="8.85546875" style="1" customWidth="1"/>
    <col min="6" max="6" width="8" style="1" customWidth="1"/>
    <col min="7" max="7" width="6.5703125" style="1" customWidth="1"/>
    <col min="8" max="9" width="11.42578125" style="1"/>
    <col min="10" max="10" width="6.7109375" style="1" customWidth="1"/>
    <col min="11" max="11" width="6.85546875" style="1" customWidth="1"/>
    <col min="12" max="12" width="11.42578125" style="1"/>
    <col min="13" max="14" width="7" style="1" customWidth="1"/>
    <col min="15" max="16384" width="11.42578125" style="1"/>
  </cols>
  <sheetData>
    <row r="1" spans="1:14" ht="15" customHeight="1" x14ac:dyDescent="0.2">
      <c r="A1" s="10" t="s">
        <v>2</v>
      </c>
      <c r="B1" s="10"/>
      <c r="D1" s="10" t="s">
        <v>3</v>
      </c>
      <c r="E1" s="10"/>
      <c r="G1" s="10" t="s">
        <v>4</v>
      </c>
      <c r="H1" s="10"/>
      <c r="J1" s="10" t="s">
        <v>5</v>
      </c>
      <c r="K1" s="10"/>
      <c r="M1" s="10" t="s">
        <v>6</v>
      </c>
      <c r="N1" s="10"/>
    </row>
    <row r="2" spans="1:14" x14ac:dyDescent="0.2">
      <c r="A2" s="2" t="s">
        <v>0</v>
      </c>
      <c r="B2" s="2" t="s">
        <v>1</v>
      </c>
      <c r="D2" s="2" t="s">
        <v>0</v>
      </c>
      <c r="E2" s="2" t="s">
        <v>1</v>
      </c>
      <c r="G2" s="2" t="s">
        <v>0</v>
      </c>
      <c r="H2" s="2" t="s">
        <v>1</v>
      </c>
      <c r="J2" s="2" t="s">
        <v>0</v>
      </c>
      <c r="K2" s="2" t="s">
        <v>1</v>
      </c>
      <c r="M2" s="2" t="s">
        <v>0</v>
      </c>
      <c r="N2" s="2" t="s">
        <v>1</v>
      </c>
    </row>
    <row r="3" spans="1:14" x14ac:dyDescent="0.2">
      <c r="A3" s="1">
        <v>1011</v>
      </c>
      <c r="B3" s="3">
        <f>VLOOKUP("h1-bus"&amp;"-"&amp;A3,[1]flota_lineas_tp!$A$1:$F$65536,6,FALSE)</f>
        <v>12.15</v>
      </c>
      <c r="D3" s="1">
        <v>1011</v>
      </c>
      <c r="E3" s="3">
        <f>VLOOKUP("h2-bus"&amp;"-"&amp;D3,[1]flota_lineas_tp!$A$1:$F$65536,6,FALSE)</f>
        <v>13.62</v>
      </c>
      <c r="G3" s="1">
        <v>1011</v>
      </c>
      <c r="H3" s="3">
        <f>VLOOKUP("bus"&amp;"-"&amp;G3,[2]flota_lineas_tp!$A$1:$D$2000,4,FALSE)</f>
        <v>7.21</v>
      </c>
      <c r="J3" s="1">
        <v>1011</v>
      </c>
      <c r="K3" s="1">
        <f>VLOOKUP("bus"&amp;"-"&amp;J3,[3]flota_lineas_tp!$A$1:$D$2000,4,FALSE)</f>
        <v>7.7</v>
      </c>
      <c r="M3" s="1">
        <v>1011</v>
      </c>
    </row>
    <row r="4" spans="1:14" x14ac:dyDescent="0.2">
      <c r="A4" s="1">
        <v>1012</v>
      </c>
      <c r="B4" s="3">
        <f>VLOOKUP("h1-bus"&amp;"-"&amp;A4,[1]flota_lineas_tp!$A$1:$F$65536,6,FALSE)</f>
        <v>3.78</v>
      </c>
      <c r="D4" s="1">
        <v>1012</v>
      </c>
      <c r="E4" s="3">
        <f>VLOOKUP("h2-bus"&amp;"-"&amp;D4,[1]flota_lineas_tp!$A$1:$F$65536,6,FALSE)</f>
        <v>7.38</v>
      </c>
      <c r="G4" s="1">
        <v>1012</v>
      </c>
      <c r="H4" s="3">
        <f>VLOOKUP("bus"&amp;"-"&amp;G4,[2]flota_lineas_tp!$A$1:$D$2000,4,FALSE)</f>
        <v>7.61</v>
      </c>
      <c r="J4" s="1">
        <v>1012</v>
      </c>
      <c r="K4" s="1">
        <f>VLOOKUP("bus"&amp;"-"&amp;J4,[3]flota_lineas_tp!$A$1:$D$2000,4,FALSE)</f>
        <v>14.55</v>
      </c>
      <c r="M4" s="1">
        <v>1012</v>
      </c>
    </row>
    <row r="5" spans="1:14" x14ac:dyDescent="0.2">
      <c r="A5" s="1">
        <v>1021</v>
      </c>
      <c r="B5" s="3">
        <f>VLOOKUP("h1-bus"&amp;"-"&amp;A5,[1]flota_lineas_tp!$A$1:$F$65536,6,FALSE)</f>
        <v>10.85</v>
      </c>
      <c r="D5" s="1">
        <v>1021</v>
      </c>
      <c r="E5" s="3">
        <f>VLOOKUP("h2-bus"&amp;"-"&amp;D5,[1]flota_lineas_tp!$A$1:$F$65536,6,FALSE)</f>
        <v>10.82</v>
      </c>
      <c r="G5" s="1">
        <v>1021</v>
      </c>
      <c r="H5" s="3">
        <f>VLOOKUP("bus"&amp;"-"&amp;G5,[2]flota_lineas_tp!$A$1:$D$2000,4,FALSE)</f>
        <v>6.42</v>
      </c>
      <c r="J5" s="1">
        <v>1021</v>
      </c>
      <c r="K5" s="1">
        <f>VLOOKUP("bus"&amp;"-"&amp;J5,[3]flota_lineas_tp!$A$1:$D$2000,4,FALSE)</f>
        <v>8.01</v>
      </c>
      <c r="M5" s="1">
        <v>1021</v>
      </c>
    </row>
    <row r="6" spans="1:14" x14ac:dyDescent="0.2">
      <c r="A6" s="1">
        <v>1022</v>
      </c>
      <c r="B6" s="3">
        <f>VLOOKUP("h1-bus"&amp;"-"&amp;A6,[1]flota_lineas_tp!$A$1:$F$65536,6,FALSE)</f>
        <v>3.84</v>
      </c>
      <c r="D6" s="1">
        <v>1022</v>
      </c>
      <c r="E6" s="3">
        <f>VLOOKUP("h2-bus"&amp;"-"&amp;D6,[1]flota_lineas_tp!$A$1:$F$65536,6,FALSE)</f>
        <v>6.4</v>
      </c>
      <c r="G6" s="1">
        <v>1022</v>
      </c>
      <c r="H6" s="3">
        <f>VLOOKUP("bus"&amp;"-"&amp;G6,[2]flota_lineas_tp!$A$1:$D$2000,4,FALSE)</f>
        <v>5.7</v>
      </c>
      <c r="J6" s="1">
        <v>1022</v>
      </c>
      <c r="K6" s="1">
        <f>VLOOKUP("bus"&amp;"-"&amp;J6,[3]flota_lineas_tp!$A$1:$D$2000,4,FALSE)</f>
        <v>7.96</v>
      </c>
      <c r="M6" s="1">
        <v>1022</v>
      </c>
    </row>
    <row r="7" spans="1:14" x14ac:dyDescent="0.2">
      <c r="A7" s="1">
        <v>1031</v>
      </c>
      <c r="B7" s="3">
        <f>VLOOKUP("h1-bus"&amp;"-"&amp;A7,[1]flota_lineas_tp!$A$1:$F$65536,6,FALSE)</f>
        <v>8.85</v>
      </c>
      <c r="D7" s="1">
        <v>1031</v>
      </c>
      <c r="E7" s="3">
        <f>VLOOKUP("h2-bus"&amp;"-"&amp;D7,[1]flota_lineas_tp!$A$1:$F$65536,6,FALSE)</f>
        <v>14.55</v>
      </c>
      <c r="G7" s="1">
        <v>1031</v>
      </c>
      <c r="H7" s="3">
        <f>VLOOKUP("bus"&amp;"-"&amp;G7,[2]flota_lineas_tp!$A$1:$D$2000,4,FALSE)</f>
        <v>6.81</v>
      </c>
      <c r="J7" s="1">
        <v>1031</v>
      </c>
      <c r="K7" s="1">
        <f>VLOOKUP("bus"&amp;"-"&amp;J7,[3]flota_lineas_tp!$A$1:$D$2000,4,FALSE)</f>
        <v>5.6</v>
      </c>
      <c r="M7" s="1">
        <v>1031</v>
      </c>
    </row>
    <row r="8" spans="1:14" x14ac:dyDescent="0.2">
      <c r="A8" s="1">
        <v>1032</v>
      </c>
      <c r="B8" s="3">
        <f>VLOOKUP("h1-bus"&amp;"-"&amp;A8,[1]flota_lineas_tp!$A$1:$F$65536,6,FALSE)</f>
        <v>3.02</v>
      </c>
      <c r="D8" s="1">
        <v>1032</v>
      </c>
      <c r="E8" s="3">
        <f>VLOOKUP("h2-bus"&amp;"-"&amp;D8,[1]flota_lineas_tp!$A$1:$F$65536,6,FALSE)</f>
        <v>5.41</v>
      </c>
      <c r="G8" s="1">
        <v>1032</v>
      </c>
      <c r="H8" s="3">
        <f>VLOOKUP("bus"&amp;"-"&amp;G8,[2]flota_lineas_tp!$A$1:$D$2000,4,FALSE)</f>
        <v>5.2</v>
      </c>
      <c r="J8" s="1">
        <v>1032</v>
      </c>
      <c r="K8" s="1">
        <f>VLOOKUP("bus"&amp;"-"&amp;J8,[3]flota_lineas_tp!$A$1:$D$2000,4,FALSE)</f>
        <v>16.09</v>
      </c>
      <c r="M8" s="1">
        <v>1032</v>
      </c>
    </row>
    <row r="9" spans="1:14" x14ac:dyDescent="0.2">
      <c r="A9" s="1">
        <v>1041</v>
      </c>
      <c r="B9" s="3">
        <f>VLOOKUP("h1-bus"&amp;"-"&amp;A9,[1]flota_lineas_tp!$A$1:$F$65536,6,FALSE)</f>
        <v>4.1500000000000004</v>
      </c>
      <c r="D9" s="1">
        <v>1041</v>
      </c>
      <c r="E9" s="3">
        <f>VLOOKUP("h2-bus"&amp;"-"&amp;D9,[1]flota_lineas_tp!$A$1:$F$65536,6,FALSE)</f>
        <v>5.6</v>
      </c>
      <c r="G9" s="1">
        <v>1041</v>
      </c>
      <c r="H9" s="3">
        <f>VLOOKUP("bus"&amp;"-"&amp;G9,[2]flota_lineas_tp!$A$1:$D$2000,4,FALSE)</f>
        <v>3.53</v>
      </c>
      <c r="J9" s="1">
        <v>1041</v>
      </c>
      <c r="K9" s="1">
        <f>VLOOKUP("bus"&amp;"-"&amp;J9,[3]flota_lineas_tp!$A$1:$D$2000,4,FALSE)</f>
        <v>7.61</v>
      </c>
      <c r="M9" s="1">
        <v>1041</v>
      </c>
    </row>
    <row r="10" spans="1:14" x14ac:dyDescent="0.2">
      <c r="A10" s="1">
        <v>1042</v>
      </c>
      <c r="B10" s="3">
        <f>VLOOKUP("h1-bus"&amp;"-"&amp;A10,[1]flota_lineas_tp!$A$1:$F$65536,6,FALSE)</f>
        <v>3.63</v>
      </c>
      <c r="D10" s="1">
        <v>1042</v>
      </c>
      <c r="E10" s="3">
        <f>VLOOKUP("h2-bus"&amp;"-"&amp;D10,[1]flota_lineas_tp!$A$1:$F$65536,6,FALSE)</f>
        <v>4.42</v>
      </c>
      <c r="G10" s="1">
        <v>1042</v>
      </c>
      <c r="H10" s="3">
        <f>VLOOKUP("bus"&amp;"-"&amp;G10,[2]flota_lineas_tp!$A$1:$D$2000,4,FALSE)</f>
        <v>3.91</v>
      </c>
      <c r="J10" s="1">
        <v>1042</v>
      </c>
      <c r="K10" s="1">
        <f>VLOOKUP("bus"&amp;"-"&amp;J10,[3]flota_lineas_tp!$A$1:$D$2000,4,FALSE)</f>
        <v>7.34</v>
      </c>
      <c r="M10" s="1">
        <v>1042</v>
      </c>
    </row>
    <row r="11" spans="1:14" x14ac:dyDescent="0.2">
      <c r="A11" s="1">
        <v>1051</v>
      </c>
      <c r="B11" s="3">
        <f>VLOOKUP("h1-bus"&amp;"-"&amp;A11,[1]flota_lineas_tp!$A$1:$F$65536,6,FALSE)</f>
        <v>7.99</v>
      </c>
      <c r="D11" s="1">
        <v>1051</v>
      </c>
      <c r="E11" s="3">
        <f>VLOOKUP("h2-bus"&amp;"-"&amp;D11,[1]flota_lineas_tp!$A$1:$F$65536,6,FALSE)</f>
        <v>10.44</v>
      </c>
      <c r="G11" s="1">
        <v>1051</v>
      </c>
      <c r="H11" s="3">
        <f>VLOOKUP("bus"&amp;"-"&amp;G11,[2]flota_lineas_tp!$A$1:$D$2000,4,FALSE)</f>
        <v>6.96</v>
      </c>
      <c r="J11" s="1">
        <v>1051</v>
      </c>
      <c r="K11" s="1">
        <f>VLOOKUP("bus"&amp;"-"&amp;J11,[3]flota_lineas_tp!$A$1:$D$2000,4,FALSE)</f>
        <v>7.56</v>
      </c>
      <c r="M11" s="1">
        <v>1051</v>
      </c>
    </row>
    <row r="12" spans="1:14" x14ac:dyDescent="0.2">
      <c r="A12" s="1">
        <v>1052</v>
      </c>
      <c r="B12" s="3">
        <f>VLOOKUP("h1-bus"&amp;"-"&amp;A12,[1]flota_lineas_tp!$A$1:$F$65536,6,FALSE)</f>
        <v>3.08</v>
      </c>
      <c r="D12" s="1">
        <v>1052</v>
      </c>
      <c r="E12" s="3">
        <f>VLOOKUP("h2-bus"&amp;"-"&amp;D12,[1]flota_lineas_tp!$A$1:$F$65536,6,FALSE)</f>
        <v>6.24</v>
      </c>
      <c r="G12" s="1">
        <v>1052</v>
      </c>
      <c r="H12" s="3">
        <f>VLOOKUP("bus"&amp;"-"&amp;G12,[2]flota_lineas_tp!$A$1:$D$2000,4,FALSE)</f>
        <v>6.69</v>
      </c>
      <c r="J12" s="1">
        <v>1052</v>
      </c>
      <c r="K12" s="1">
        <f>VLOOKUP("bus"&amp;"-"&amp;J12,[3]flota_lineas_tp!$A$1:$D$2000,4,FALSE)</f>
        <v>7.41</v>
      </c>
      <c r="M12" s="1">
        <v>1052</v>
      </c>
    </row>
    <row r="13" spans="1:14" x14ac:dyDescent="0.2">
      <c r="A13" s="1">
        <v>1061</v>
      </c>
      <c r="B13" s="3">
        <f>VLOOKUP("h1-bus"&amp;"-"&amp;A13,[1]flota_lineas_tp!$A$1:$F$65536,6,FALSE)</f>
        <v>7.58</v>
      </c>
      <c r="D13" s="1">
        <v>1061</v>
      </c>
      <c r="E13" s="3">
        <f>VLOOKUP("h2-bus"&amp;"-"&amp;D13,[1]flota_lineas_tp!$A$1:$F$65536,6,FALSE)</f>
        <v>10.53</v>
      </c>
      <c r="G13" s="1">
        <v>1061</v>
      </c>
      <c r="H13" s="3">
        <f>VLOOKUP("bus"&amp;"-"&amp;G13,[2]flota_lineas_tp!$A$1:$D$2000,4,FALSE)</f>
        <v>5.45</v>
      </c>
      <c r="J13" s="1">
        <v>1061</v>
      </c>
      <c r="K13" s="1">
        <f>VLOOKUP("bus"&amp;"-"&amp;J13,[3]flota_lineas_tp!$A$1:$D$2000,4,FALSE)</f>
        <v>5.3</v>
      </c>
      <c r="M13" s="1">
        <v>1061</v>
      </c>
    </row>
    <row r="14" spans="1:14" x14ac:dyDescent="0.2">
      <c r="A14" s="1">
        <v>1062</v>
      </c>
      <c r="B14" s="3">
        <f>VLOOKUP("h1-bus"&amp;"-"&amp;A14,[1]flota_lineas_tp!$A$1:$F$65536,6,FALSE)</f>
        <v>4.0199999999999996</v>
      </c>
      <c r="D14" s="1">
        <v>1062</v>
      </c>
      <c r="E14" s="3">
        <f>VLOOKUP("h2-bus"&amp;"-"&amp;D14,[1]flota_lineas_tp!$A$1:$F$65536,6,FALSE)</f>
        <v>6.56</v>
      </c>
      <c r="G14" s="1">
        <v>1062</v>
      </c>
      <c r="H14" s="3">
        <f>VLOOKUP("bus"&amp;"-"&amp;G14,[2]flota_lineas_tp!$A$1:$D$2000,4,FALSE)</f>
        <v>4.87</v>
      </c>
      <c r="J14" s="1">
        <v>1062</v>
      </c>
      <c r="K14" s="1">
        <f>VLOOKUP("bus"&amp;"-"&amp;J14,[3]flota_lineas_tp!$A$1:$D$2000,4,FALSE)</f>
        <v>8.8699999999999992</v>
      </c>
      <c r="M14" s="1">
        <v>1062</v>
      </c>
    </row>
    <row r="15" spans="1:14" x14ac:dyDescent="0.2">
      <c r="A15" s="1">
        <v>1071</v>
      </c>
      <c r="B15" s="3">
        <f>VLOOKUP("h1-bus"&amp;"-"&amp;A15,[1]flota_lineas_tp!$A$1:$F$65536,6,FALSE)</f>
        <v>8.14</v>
      </c>
      <c r="D15" s="1">
        <v>1071</v>
      </c>
      <c r="E15" s="3">
        <f>VLOOKUP("h2-bus"&amp;"-"&amp;D15,[1]flota_lineas_tp!$A$1:$F$65536,6,FALSE)</f>
        <v>22.39</v>
      </c>
      <c r="G15" s="1">
        <v>1071</v>
      </c>
      <c r="H15" s="3">
        <f>VLOOKUP("bus"&amp;"-"&amp;G15,[2]flota_lineas_tp!$A$1:$D$2000,4,FALSE)</f>
        <v>5.89</v>
      </c>
      <c r="J15" s="1">
        <v>1071</v>
      </c>
      <c r="K15" s="1">
        <f>VLOOKUP("bus"&amp;"-"&amp;J15,[3]flota_lineas_tp!$A$1:$D$2000,4,FALSE)</f>
        <v>6.82</v>
      </c>
      <c r="M15" s="1">
        <v>1071</v>
      </c>
    </row>
    <row r="16" spans="1:14" x14ac:dyDescent="0.2">
      <c r="A16" s="1">
        <v>1072</v>
      </c>
      <c r="B16" s="3">
        <f>VLOOKUP("h1-bus"&amp;"-"&amp;A16,[1]flota_lineas_tp!$A$1:$F$65536,6,FALSE)</f>
        <v>4.29</v>
      </c>
      <c r="D16" s="1">
        <v>1072</v>
      </c>
      <c r="E16" s="3">
        <f>VLOOKUP("h2-bus"&amp;"-"&amp;D16,[1]flota_lineas_tp!$A$1:$F$65536,6,FALSE)</f>
        <v>6.33</v>
      </c>
      <c r="G16" s="1">
        <v>1072</v>
      </c>
      <c r="H16" s="3">
        <f>VLOOKUP("bus"&amp;"-"&amp;G16,[2]flota_lineas_tp!$A$1:$D$2000,4,FALSE)</f>
        <v>6.18</v>
      </c>
      <c r="J16" s="1">
        <v>1072</v>
      </c>
      <c r="K16" s="1">
        <f>VLOOKUP("bus"&amp;"-"&amp;J16,[3]flota_lineas_tp!$A$1:$D$2000,4,FALSE)</f>
        <v>19.93</v>
      </c>
      <c r="M16" s="1">
        <v>1072</v>
      </c>
    </row>
    <row r="17" spans="1:13" x14ac:dyDescent="0.2">
      <c r="A17" s="1">
        <v>1081</v>
      </c>
      <c r="B17" s="3">
        <f>VLOOKUP("h1-bus"&amp;"-"&amp;A17,[1]flota_lineas_tp!$A$1:$F$65536,6,FALSE)</f>
        <v>4.17</v>
      </c>
      <c r="D17" s="1">
        <v>1081</v>
      </c>
      <c r="E17" s="3">
        <f>VLOOKUP("h2-bus"&amp;"-"&amp;D17,[1]flota_lineas_tp!$A$1:$F$65536,6,FALSE)</f>
        <v>5.58</v>
      </c>
      <c r="G17" s="1">
        <v>1081</v>
      </c>
      <c r="H17" s="3">
        <f>VLOOKUP("bus"&amp;"-"&amp;G17,[2]flota_lineas_tp!$A$1:$D$2000,4,FALSE)</f>
        <v>3.55</v>
      </c>
      <c r="J17" s="1">
        <v>1081</v>
      </c>
      <c r="K17" s="1">
        <f>VLOOKUP("bus"&amp;"-"&amp;J17,[3]flota_lineas_tp!$A$1:$D$2000,4,FALSE)</f>
        <v>1.26</v>
      </c>
      <c r="M17" s="1">
        <v>1081</v>
      </c>
    </row>
    <row r="18" spans="1:13" x14ac:dyDescent="0.2">
      <c r="A18" s="1">
        <v>1082</v>
      </c>
      <c r="B18" s="3">
        <f>VLOOKUP("h1-bus"&amp;"-"&amp;A18,[1]flota_lineas_tp!$A$1:$F$65536,6,FALSE)</f>
        <v>2.6</v>
      </c>
      <c r="D18" s="1">
        <v>1082</v>
      </c>
      <c r="E18" s="3">
        <f>VLOOKUP("h2-bus"&amp;"-"&amp;D18,[1]flota_lineas_tp!$A$1:$F$65536,6,FALSE)</f>
        <v>4.37</v>
      </c>
      <c r="G18" s="1">
        <v>1082</v>
      </c>
      <c r="H18" s="3">
        <f>VLOOKUP("bus"&amp;"-"&amp;G18,[2]flota_lineas_tp!$A$1:$D$2000,4,FALSE)</f>
        <v>2.78</v>
      </c>
      <c r="J18" s="1">
        <v>1082</v>
      </c>
      <c r="K18" s="1">
        <f>VLOOKUP("bus"&amp;"-"&amp;J18,[3]flota_lineas_tp!$A$1:$D$2000,4,FALSE)</f>
        <v>4.1500000000000004</v>
      </c>
      <c r="M18" s="1">
        <v>1082</v>
      </c>
    </row>
    <row r="19" spans="1:13" x14ac:dyDescent="0.2">
      <c r="A19" s="1">
        <v>1091</v>
      </c>
      <c r="B19" s="3">
        <f>VLOOKUP("h1-bus"&amp;"-"&amp;A19,[1]flota_lineas_tp!$A$1:$F$65536,6,FALSE)</f>
        <v>12.55</v>
      </c>
      <c r="D19" s="1">
        <v>1091</v>
      </c>
      <c r="E19" s="3">
        <f>VLOOKUP("h2-bus"&amp;"-"&amp;D19,[1]flota_lineas_tp!$A$1:$F$65536,6,FALSE)</f>
        <v>11.51</v>
      </c>
      <c r="G19" s="1">
        <v>1091</v>
      </c>
      <c r="H19" s="3">
        <f>VLOOKUP("bus"&amp;"-"&amp;G19,[2]flota_lineas_tp!$A$1:$D$2000,4,FALSE)</f>
        <v>6.15</v>
      </c>
      <c r="J19" s="1">
        <v>1091</v>
      </c>
      <c r="K19" s="1">
        <f>VLOOKUP("bus"&amp;"-"&amp;J19,[3]flota_lineas_tp!$A$1:$D$2000,4,FALSE)</f>
        <v>7.62</v>
      </c>
      <c r="M19" s="1">
        <v>1091</v>
      </c>
    </row>
    <row r="20" spans="1:13" x14ac:dyDescent="0.2">
      <c r="A20" s="1">
        <v>1092</v>
      </c>
      <c r="B20" s="3">
        <f>VLOOKUP("h1-bus"&amp;"-"&amp;A20,[1]flota_lineas_tp!$A$1:$F$65536,6,FALSE)</f>
        <v>3.22</v>
      </c>
      <c r="D20" s="1">
        <v>1092</v>
      </c>
      <c r="E20" s="3">
        <f>VLOOKUP("h2-bus"&amp;"-"&amp;D20,[1]flota_lineas_tp!$A$1:$F$65536,6,FALSE)</f>
        <v>6.14</v>
      </c>
      <c r="G20" s="1">
        <v>1092</v>
      </c>
      <c r="H20" s="3">
        <f>VLOOKUP("bus"&amp;"-"&amp;G20,[2]flota_lineas_tp!$A$1:$D$2000,4,FALSE)</f>
        <v>5.49</v>
      </c>
      <c r="J20" s="1">
        <v>1092</v>
      </c>
      <c r="K20" s="1">
        <f>VLOOKUP("bus"&amp;"-"&amp;J20,[3]flota_lineas_tp!$A$1:$D$2000,4,FALSE)</f>
        <v>7.79</v>
      </c>
      <c r="M20" s="1">
        <v>1092</v>
      </c>
    </row>
    <row r="21" spans="1:13" x14ac:dyDescent="0.2">
      <c r="A21" s="1">
        <v>1101</v>
      </c>
      <c r="B21" s="3">
        <f>VLOOKUP("h1-bus"&amp;"-"&amp;A21,[1]flota_lineas_tp!$A$1:$F$65536,6,FALSE)</f>
        <v>4.91</v>
      </c>
      <c r="D21" s="1">
        <v>1101</v>
      </c>
      <c r="E21" s="3">
        <f>VLOOKUP("h2-bus"&amp;"-"&amp;D21,[1]flota_lineas_tp!$A$1:$F$65536,6,FALSE)</f>
        <v>4.83</v>
      </c>
      <c r="G21" s="1">
        <v>1101</v>
      </c>
      <c r="H21" s="3">
        <f>VLOOKUP("bus"&amp;"-"&amp;G21,[2]flota_lineas_tp!$A$1:$D$2000,4,FALSE)</f>
        <v>2.93</v>
      </c>
      <c r="J21" s="1">
        <v>1101</v>
      </c>
      <c r="K21" s="1">
        <f>VLOOKUP("bus"&amp;"-"&amp;J21,[3]flota_lineas_tp!$A$1:$D$2000,4,FALSE)</f>
        <v>4.17</v>
      </c>
      <c r="M21" s="1">
        <v>1101</v>
      </c>
    </row>
    <row r="22" spans="1:13" x14ac:dyDescent="0.2">
      <c r="A22" s="1">
        <v>1102</v>
      </c>
      <c r="B22" s="3">
        <f>VLOOKUP("h1-bus"&amp;"-"&amp;A22,[1]flota_lineas_tp!$A$1:$F$65536,6,FALSE)</f>
        <v>1.71</v>
      </c>
      <c r="D22" s="1">
        <v>1102</v>
      </c>
      <c r="E22" s="3">
        <f>VLOOKUP("h2-bus"&amp;"-"&amp;D22,[1]flota_lineas_tp!$A$1:$F$65536,6,FALSE)</f>
        <v>3.21</v>
      </c>
      <c r="G22" s="1">
        <v>1102</v>
      </c>
      <c r="H22" s="3">
        <f>VLOOKUP("bus"&amp;"-"&amp;G22,[2]flota_lineas_tp!$A$1:$D$2000,4,FALSE)</f>
        <v>3.3</v>
      </c>
      <c r="J22" s="1">
        <v>1102</v>
      </c>
      <c r="K22" s="1">
        <f>VLOOKUP("bus"&amp;"-"&amp;J22,[3]flota_lineas_tp!$A$1:$D$2000,4,FALSE)</f>
        <v>1.22</v>
      </c>
      <c r="M22" s="1">
        <v>1102</v>
      </c>
    </row>
    <row r="23" spans="1:13" x14ac:dyDescent="0.2">
      <c r="A23" s="1">
        <v>1111</v>
      </c>
      <c r="B23" s="3">
        <f>VLOOKUP("h1-bus"&amp;"-"&amp;A23,[1]flota_lineas_tp!$A$1:$F$65536,6,FALSE)</f>
        <v>3.95</v>
      </c>
      <c r="D23" s="1">
        <v>1111</v>
      </c>
      <c r="E23" s="3">
        <f>VLOOKUP("h2-bus"&amp;"-"&amp;D23,[1]flota_lineas_tp!$A$1:$F$65536,6,FALSE)</f>
        <v>5.45</v>
      </c>
      <c r="G23" s="1">
        <v>1111</v>
      </c>
      <c r="H23" s="3">
        <f>VLOOKUP("bus"&amp;"-"&amp;G23,[2]flota_lineas_tp!$A$1:$D$2000,4,FALSE)</f>
        <v>4.4400000000000004</v>
      </c>
      <c r="J23" s="1">
        <v>1111</v>
      </c>
      <c r="K23" s="1">
        <f>VLOOKUP("bus"&amp;"-"&amp;J23,[3]flota_lineas_tp!$A$1:$D$2000,4,FALSE)</f>
        <v>3.57</v>
      </c>
      <c r="M23" s="1">
        <v>1111</v>
      </c>
    </row>
    <row r="24" spans="1:13" x14ac:dyDescent="0.2">
      <c r="A24" s="1">
        <v>1112</v>
      </c>
      <c r="B24" s="3">
        <f>VLOOKUP("h1-bus"&amp;"-"&amp;A24,[1]flota_lineas_tp!$A$1:$F$65536,6,FALSE)</f>
        <v>1.98</v>
      </c>
      <c r="D24" s="1">
        <v>1112</v>
      </c>
      <c r="E24" s="3">
        <f>VLOOKUP("h2-bus"&amp;"-"&amp;D24,[1]flota_lineas_tp!$A$1:$F$65536,6,FALSE)</f>
        <v>5.51</v>
      </c>
      <c r="G24" s="1">
        <v>1112</v>
      </c>
      <c r="H24" s="3">
        <f>VLOOKUP("bus"&amp;"-"&amp;G24,[2]flota_lineas_tp!$A$1:$D$2000,4,FALSE)</f>
        <v>4.28</v>
      </c>
      <c r="J24" s="1">
        <v>1112</v>
      </c>
      <c r="K24" s="1">
        <f>VLOOKUP("bus"&amp;"-"&amp;J24,[3]flota_lineas_tp!$A$1:$D$2000,4,FALSE)</f>
        <v>6.9</v>
      </c>
      <c r="M24" s="1">
        <v>1112</v>
      </c>
    </row>
    <row r="25" spans="1:13" x14ac:dyDescent="0.2">
      <c r="A25" s="1">
        <v>1121</v>
      </c>
      <c r="B25" s="3">
        <f>VLOOKUP("h1-bus"&amp;"-"&amp;A25,[1]flota_lineas_tp!$A$1:$F$65536,6,FALSE)</f>
        <v>8.4499999999999993</v>
      </c>
      <c r="D25" s="1">
        <v>1121</v>
      </c>
      <c r="E25" s="3">
        <f>VLOOKUP("h2-bus"&amp;"-"&amp;D25,[1]flota_lineas_tp!$A$1:$F$65536,6,FALSE)</f>
        <v>11.33</v>
      </c>
      <c r="G25" s="1">
        <v>1121</v>
      </c>
      <c r="H25" s="3">
        <f>VLOOKUP("bus"&amp;"-"&amp;G25,[2]flota_lineas_tp!$A$1:$D$2000,4,FALSE)</f>
        <v>4.09</v>
      </c>
      <c r="J25" s="1">
        <v>1121</v>
      </c>
      <c r="K25" s="1">
        <f>VLOOKUP("bus"&amp;"-"&amp;J25,[3]flota_lineas_tp!$A$1:$D$2000,4,FALSE)</f>
        <v>5.53</v>
      </c>
      <c r="M25" s="1">
        <v>1121</v>
      </c>
    </row>
    <row r="26" spans="1:13" x14ac:dyDescent="0.2">
      <c r="A26" s="1">
        <v>1122</v>
      </c>
      <c r="B26" s="3">
        <f>VLOOKUP("h1-bus"&amp;"-"&amp;A26,[1]flota_lineas_tp!$A$1:$F$65536,6,FALSE)</f>
        <v>2.78</v>
      </c>
      <c r="D26" s="1">
        <v>1122</v>
      </c>
      <c r="E26" s="3">
        <f>VLOOKUP("h2-bus"&amp;"-"&amp;D26,[1]flota_lineas_tp!$A$1:$F$65536,6,FALSE)</f>
        <v>5.85</v>
      </c>
      <c r="G26" s="1">
        <v>1122</v>
      </c>
      <c r="H26" s="3">
        <f>VLOOKUP("bus"&amp;"-"&amp;G26,[2]flota_lineas_tp!$A$1:$D$2000,4,FALSE)</f>
        <v>2.99</v>
      </c>
      <c r="J26" s="1">
        <v>1122</v>
      </c>
      <c r="K26" s="1">
        <f>VLOOKUP("bus"&amp;"-"&amp;J26,[3]flota_lineas_tp!$A$1:$D$2000,4,FALSE)</f>
        <v>10.95</v>
      </c>
      <c r="M26" s="1">
        <v>1122</v>
      </c>
    </row>
    <row r="27" spans="1:13" x14ac:dyDescent="0.2">
      <c r="A27" s="1">
        <v>1131</v>
      </c>
      <c r="B27" s="3">
        <f>VLOOKUP("h1-bus"&amp;"-"&amp;A27,[1]flota_lineas_tp!$A$1:$F$65536,6,FALSE)</f>
        <v>8.1999999999999993</v>
      </c>
      <c r="D27" s="1">
        <v>1131</v>
      </c>
      <c r="E27" s="3">
        <f>VLOOKUP("h2-bus"&amp;"-"&amp;D27,[1]flota_lineas_tp!$A$1:$F$65536,6,FALSE)</f>
        <v>11.16</v>
      </c>
      <c r="G27" s="1">
        <v>1131</v>
      </c>
      <c r="H27" s="3">
        <f>VLOOKUP("bus"&amp;"-"&amp;G27,[2]flota_lineas_tp!$A$1:$D$2000,4,FALSE)</f>
        <v>6.45</v>
      </c>
      <c r="J27" s="1">
        <v>1131</v>
      </c>
      <c r="K27" s="1">
        <f>VLOOKUP("bus"&amp;"-"&amp;J27,[3]flota_lineas_tp!$A$1:$D$2000,4,FALSE)</f>
        <v>6.86</v>
      </c>
      <c r="M27" s="1">
        <v>1131</v>
      </c>
    </row>
    <row r="28" spans="1:13" x14ac:dyDescent="0.2">
      <c r="A28" s="1">
        <v>1132</v>
      </c>
      <c r="B28" s="3">
        <f>VLOOKUP("h1-bus"&amp;"-"&amp;A28,[1]flota_lineas_tp!$A$1:$F$65536,6,FALSE)</f>
        <v>3.2</v>
      </c>
      <c r="D28" s="1">
        <v>1132</v>
      </c>
      <c r="E28" s="3">
        <f>VLOOKUP("h2-bus"&amp;"-"&amp;D28,[1]flota_lineas_tp!$A$1:$F$65536,6,FALSE)</f>
        <v>6.69</v>
      </c>
      <c r="G28" s="1">
        <v>1132</v>
      </c>
      <c r="H28" s="3">
        <f>VLOOKUP("bus"&amp;"-"&amp;G28,[2]flota_lineas_tp!$A$1:$D$2000,4,FALSE)</f>
        <v>4.49</v>
      </c>
      <c r="J28" s="1">
        <v>1132</v>
      </c>
      <c r="K28" s="1">
        <f>VLOOKUP("bus"&amp;"-"&amp;J28,[3]flota_lineas_tp!$A$1:$D$2000,4,FALSE)</f>
        <v>7.74</v>
      </c>
      <c r="M28" s="1">
        <v>1132</v>
      </c>
    </row>
    <row r="29" spans="1:13" x14ac:dyDescent="0.2">
      <c r="A29" s="1">
        <v>1141</v>
      </c>
      <c r="B29" s="3">
        <f>VLOOKUP("h1-bus"&amp;"-"&amp;A29,[1]flota_lineas_tp!$A$1:$F$65536,6,FALSE)</f>
        <v>7.88</v>
      </c>
      <c r="D29" s="1">
        <v>1141</v>
      </c>
      <c r="E29" s="3">
        <f>VLOOKUP("h2-bus"&amp;"-"&amp;D29,[1]flota_lineas_tp!$A$1:$F$65536,6,FALSE)</f>
        <v>9.34</v>
      </c>
      <c r="G29" s="1">
        <v>1141</v>
      </c>
      <c r="H29" s="3">
        <f>VLOOKUP("bus"&amp;"-"&amp;G29,[2]flota_lineas_tp!$A$1:$D$2000,4,FALSE)</f>
        <v>6.73</v>
      </c>
      <c r="J29" s="1">
        <v>1141</v>
      </c>
      <c r="K29" s="1">
        <f>VLOOKUP("bus"&amp;"-"&amp;J29,[3]flota_lineas_tp!$A$1:$D$2000,4,FALSE)</f>
        <v>5.53</v>
      </c>
      <c r="M29" s="1">
        <v>1141</v>
      </c>
    </row>
    <row r="30" spans="1:13" x14ac:dyDescent="0.2">
      <c r="A30" s="1">
        <v>1142</v>
      </c>
      <c r="B30" s="3">
        <f>VLOOKUP("h1-bus"&amp;"-"&amp;A30,[1]flota_lineas_tp!$A$1:$F$65536,6,FALSE)</f>
        <v>4.16</v>
      </c>
      <c r="D30" s="1">
        <v>1142</v>
      </c>
      <c r="E30" s="3">
        <f>VLOOKUP("h2-bus"&amp;"-"&amp;D30,[1]flota_lineas_tp!$A$1:$F$65536,6,FALSE)</f>
        <v>6.14</v>
      </c>
      <c r="G30" s="1">
        <v>1142</v>
      </c>
      <c r="H30" s="3">
        <f>VLOOKUP("bus"&amp;"-"&amp;G30,[2]flota_lineas_tp!$A$1:$D$2000,4,FALSE)</f>
        <v>6.94</v>
      </c>
      <c r="J30" s="1">
        <v>1142</v>
      </c>
      <c r="K30" s="1">
        <f>VLOOKUP("bus"&amp;"-"&amp;J30,[3]flota_lineas_tp!$A$1:$D$2000,4,FALSE)</f>
        <v>8.99</v>
      </c>
      <c r="M30" s="1">
        <v>1142</v>
      </c>
    </row>
    <row r="31" spans="1:13" x14ac:dyDescent="0.2">
      <c r="A31" s="1">
        <v>1151</v>
      </c>
      <c r="B31" s="3">
        <f>VLOOKUP("h1-bus"&amp;"-"&amp;A31,[1]flota_lineas_tp!$A$1:$F$65536,6,FALSE)</f>
        <v>7.74</v>
      </c>
      <c r="D31" s="1">
        <v>1151</v>
      </c>
      <c r="E31" s="3">
        <f>VLOOKUP("h2-bus"&amp;"-"&amp;D31,[1]flota_lineas_tp!$A$1:$F$65536,6,FALSE)</f>
        <v>6.79</v>
      </c>
      <c r="G31" s="1">
        <v>1151</v>
      </c>
      <c r="H31" s="3">
        <f>VLOOKUP("bus"&amp;"-"&amp;G31,[2]flota_lineas_tp!$A$1:$D$2000,4,FALSE)</f>
        <v>4.9000000000000004</v>
      </c>
      <c r="J31" s="1">
        <v>1151</v>
      </c>
      <c r="K31" s="1">
        <f>VLOOKUP("bus"&amp;"-"&amp;J31,[3]flota_lineas_tp!$A$1:$D$2000,4,FALSE)</f>
        <v>3.48</v>
      </c>
      <c r="M31" s="1">
        <v>1151</v>
      </c>
    </row>
    <row r="32" spans="1:13" x14ac:dyDescent="0.2">
      <c r="A32" s="1">
        <v>1152</v>
      </c>
      <c r="B32" s="3">
        <f>VLOOKUP("h1-bus"&amp;"-"&amp;A32,[1]flota_lineas_tp!$A$1:$F$65536,6,FALSE)</f>
        <v>2.68</v>
      </c>
      <c r="D32" s="1">
        <v>1152</v>
      </c>
      <c r="E32" s="3">
        <f>VLOOKUP("h2-bus"&amp;"-"&amp;D32,[1]flota_lineas_tp!$A$1:$F$65536,6,FALSE)</f>
        <v>4.38</v>
      </c>
      <c r="G32" s="1">
        <v>1152</v>
      </c>
      <c r="H32" s="3">
        <f>VLOOKUP("bus"&amp;"-"&amp;G32,[2]flota_lineas_tp!$A$1:$D$2000,4,FALSE)</f>
        <v>4.42</v>
      </c>
      <c r="J32" s="1">
        <v>1152</v>
      </c>
      <c r="K32" s="1">
        <f>VLOOKUP("bus"&amp;"-"&amp;J32,[3]flota_lineas_tp!$A$1:$D$2000,4,FALSE)</f>
        <v>3.84</v>
      </c>
      <c r="M32" s="1">
        <v>1152</v>
      </c>
    </row>
    <row r="33" spans="1:13" x14ac:dyDescent="0.2">
      <c r="A33" s="1">
        <v>1161</v>
      </c>
      <c r="B33" s="3">
        <f>VLOOKUP("h1-bus"&amp;"-"&amp;A33,[1]flota_lineas_tp!$A$1:$F$65536,6,FALSE)</f>
        <v>1.45</v>
      </c>
      <c r="D33" s="1">
        <v>1161</v>
      </c>
      <c r="E33" s="3">
        <f>VLOOKUP("h2-bus"&amp;"-"&amp;D33,[1]flota_lineas_tp!$A$1:$F$65536,6,FALSE)</f>
        <v>3.13</v>
      </c>
      <c r="G33" s="1">
        <v>1161</v>
      </c>
      <c r="H33" s="3">
        <f>VLOOKUP("bus"&amp;"-"&amp;G33,[2]flota_lineas_tp!$A$1:$D$2000,4,FALSE)</f>
        <v>4.49</v>
      </c>
      <c r="J33" s="1">
        <v>1161</v>
      </c>
      <c r="K33" s="1">
        <f>VLOOKUP("bus"&amp;"-"&amp;J33,[3]flota_lineas_tp!$A$1:$D$2000,4,FALSE)</f>
        <v>4.95</v>
      </c>
      <c r="M33" s="1">
        <v>1161</v>
      </c>
    </row>
    <row r="34" spans="1:13" x14ac:dyDescent="0.2">
      <c r="A34" s="1">
        <v>1162</v>
      </c>
      <c r="B34" s="3">
        <f>VLOOKUP("h1-bus"&amp;"-"&amp;A34,[1]flota_lineas_tp!$A$1:$F$65536,6,FALSE)</f>
        <v>1.88</v>
      </c>
      <c r="D34" s="1">
        <v>1162</v>
      </c>
      <c r="E34" s="3">
        <f>VLOOKUP("h2-bus"&amp;"-"&amp;D34,[1]flota_lineas_tp!$A$1:$F$65536,6,FALSE)</f>
        <v>4.72</v>
      </c>
      <c r="G34" s="1">
        <v>1162</v>
      </c>
      <c r="H34" s="3">
        <f>VLOOKUP("bus"&amp;"-"&amp;G34,[2]flota_lineas_tp!$A$1:$D$2000,4,FALSE)</f>
        <v>5.76</v>
      </c>
      <c r="J34" s="1">
        <v>1162</v>
      </c>
      <c r="K34" s="1">
        <f>VLOOKUP("bus"&amp;"-"&amp;J34,[3]flota_lineas_tp!$A$1:$D$2000,4,FALSE)</f>
        <v>6.15</v>
      </c>
      <c r="M34" s="1">
        <v>1162</v>
      </c>
    </row>
    <row r="35" spans="1:13" x14ac:dyDescent="0.2">
      <c r="A35" s="1">
        <v>1171</v>
      </c>
      <c r="B35" s="3">
        <f>VLOOKUP("h1-bus"&amp;"-"&amp;A35,[1]flota_lineas_tp!$A$1:$F$65536,6,FALSE)</f>
        <v>0.3</v>
      </c>
      <c r="D35" s="1">
        <v>1171</v>
      </c>
      <c r="E35" s="3">
        <f>VLOOKUP("h2-bus"&amp;"-"&amp;D35,[1]flota_lineas_tp!$A$1:$F$65536,6,FALSE)</f>
        <v>0.46</v>
      </c>
      <c r="G35" s="1">
        <v>1171</v>
      </c>
      <c r="H35" s="3">
        <f>VLOOKUP("bus"&amp;"-"&amp;G35,[2]flota_lineas_tp!$A$1:$D$2000,4,FALSE)</f>
        <v>0.3</v>
      </c>
      <c r="J35" s="1">
        <v>1171</v>
      </c>
      <c r="K35" s="1">
        <f>VLOOKUP("bus"&amp;"-"&amp;J35,[3]flota_lineas_tp!$A$1:$D$2000,4,FALSE)</f>
        <v>0.38</v>
      </c>
      <c r="M35" s="1">
        <v>1171</v>
      </c>
    </row>
    <row r="36" spans="1:13" x14ac:dyDescent="0.2">
      <c r="A36" s="1">
        <v>1172</v>
      </c>
      <c r="B36" s="3">
        <f>VLOOKUP("h1-bus"&amp;"-"&amp;A36,[1]flota_lineas_tp!$A$1:$F$65536,6,FALSE)</f>
        <v>0.27</v>
      </c>
      <c r="D36" s="1">
        <v>1172</v>
      </c>
      <c r="E36" s="3">
        <f>VLOOKUP("h2-bus"&amp;"-"&amp;D36,[1]flota_lineas_tp!$A$1:$F$65536,6,FALSE)</f>
        <v>0.51</v>
      </c>
      <c r="G36" s="1">
        <v>1172</v>
      </c>
      <c r="H36" s="3">
        <f>VLOOKUP("bus"&amp;"-"&amp;G36,[2]flota_lineas_tp!$A$1:$D$2000,4,FALSE)</f>
        <v>0.32</v>
      </c>
      <c r="J36" s="1">
        <v>1172</v>
      </c>
      <c r="K36" s="1">
        <f>VLOOKUP("bus"&amp;"-"&amp;J36,[3]flota_lineas_tp!$A$1:$D$2000,4,FALSE)</f>
        <v>0.28000000000000003</v>
      </c>
      <c r="M36" s="1">
        <v>1172</v>
      </c>
    </row>
    <row r="37" spans="1:13" x14ac:dyDescent="0.2">
      <c r="A37" s="1">
        <v>1191</v>
      </c>
      <c r="B37" s="3">
        <f>VLOOKUP("h1-bus"&amp;"-"&amp;A37,[1]flota_lineas_tp!$A$1:$F$65536,6,FALSE)</f>
        <v>2.87</v>
      </c>
      <c r="D37" s="1">
        <v>1191</v>
      </c>
      <c r="E37" s="3">
        <f>VLOOKUP("h2-bus"&amp;"-"&amp;D37,[1]flota_lineas_tp!$A$1:$F$65536,6,FALSE)</f>
        <v>3.68</v>
      </c>
      <c r="G37" s="1">
        <v>1191</v>
      </c>
      <c r="H37" s="3">
        <f>VLOOKUP("bus"&amp;"-"&amp;G37,[2]flota_lineas_tp!$A$1:$D$2000,4,FALSE)</f>
        <v>3.38</v>
      </c>
      <c r="J37" s="1">
        <v>1191</v>
      </c>
      <c r="K37" s="1">
        <f>VLOOKUP("bus"&amp;"-"&amp;J37,[3]flota_lineas_tp!$A$1:$D$2000,4,FALSE)</f>
        <v>4.12</v>
      </c>
      <c r="M37" s="1">
        <v>1191</v>
      </c>
    </row>
    <row r="38" spans="1:13" x14ac:dyDescent="0.2">
      <c r="A38" s="1">
        <v>1192</v>
      </c>
      <c r="B38" s="3">
        <f>VLOOKUP("h1-bus"&amp;"-"&amp;A38,[1]flota_lineas_tp!$A$1:$F$65536,6,FALSE)</f>
        <v>4.21</v>
      </c>
      <c r="D38" s="1">
        <v>1192</v>
      </c>
      <c r="E38" s="3">
        <f>VLOOKUP("h2-bus"&amp;"-"&amp;D38,[1]flota_lineas_tp!$A$1:$F$65536,6,FALSE)</f>
        <v>3.41</v>
      </c>
      <c r="G38" s="1">
        <v>1192</v>
      </c>
      <c r="H38" s="3">
        <f>VLOOKUP("bus"&amp;"-"&amp;G38,[2]flota_lineas_tp!$A$1:$D$2000,4,FALSE)</f>
        <v>3.22</v>
      </c>
      <c r="J38" s="1">
        <v>1192</v>
      </c>
      <c r="K38" s="1">
        <f>VLOOKUP("bus"&amp;"-"&amp;J38,[3]flota_lineas_tp!$A$1:$D$2000,4,FALSE)</f>
        <v>2.2400000000000002</v>
      </c>
      <c r="M38" s="1">
        <v>1192</v>
      </c>
    </row>
    <row r="39" spans="1:13" x14ac:dyDescent="0.2">
      <c r="A39" s="1">
        <v>1201</v>
      </c>
      <c r="B39" s="3">
        <f>VLOOKUP("h1-bus"&amp;"-"&amp;A39,[1]flota_lineas_tp!$A$1:$F$65536,6,FALSE)</f>
        <v>0.61</v>
      </c>
      <c r="D39" s="1">
        <v>1201</v>
      </c>
      <c r="E39" s="3">
        <f>VLOOKUP("h2-bus"&amp;"-"&amp;D39,[1]flota_lineas_tp!$A$1:$F$65536,6,FALSE)</f>
        <v>0.68</v>
      </c>
      <c r="G39" s="1">
        <v>1201</v>
      </c>
      <c r="H39" s="3">
        <f>VLOOKUP("bus"&amp;"-"&amp;G39,[2]flota_lineas_tp!$A$1:$D$2000,4,FALSE)</f>
        <v>0.74</v>
      </c>
      <c r="J39" s="1">
        <v>1201</v>
      </c>
      <c r="K39" s="1">
        <f>VLOOKUP("bus"&amp;"-"&amp;J39,[3]flota_lineas_tp!$A$1:$D$2000,4,FALSE)</f>
        <v>0.65</v>
      </c>
      <c r="M39" s="1">
        <v>1201</v>
      </c>
    </row>
    <row r="40" spans="1:13" x14ac:dyDescent="0.2">
      <c r="A40" s="1">
        <v>1202</v>
      </c>
      <c r="B40" s="3">
        <f>VLOOKUP("h1-bus"&amp;"-"&amp;A40,[1]flota_lineas_tp!$A$1:$F$65536,6,FALSE)</f>
        <v>0.24</v>
      </c>
      <c r="D40" s="1">
        <v>1202</v>
      </c>
      <c r="E40" s="3">
        <f>VLOOKUP("h2-bus"&amp;"-"&amp;D40,[1]flota_lineas_tp!$A$1:$F$65536,6,FALSE)</f>
        <v>0.27</v>
      </c>
      <c r="G40" s="1">
        <v>1202</v>
      </c>
      <c r="H40" s="3">
        <f>VLOOKUP("bus"&amp;"-"&amp;G40,[2]flota_lineas_tp!$A$1:$D$2000,4,FALSE)</f>
        <v>0.38</v>
      </c>
      <c r="J40" s="1">
        <v>1202</v>
      </c>
      <c r="K40" s="1">
        <f>VLOOKUP("bus"&amp;"-"&amp;J40,[3]flota_lineas_tp!$A$1:$D$2000,4,FALSE)</f>
        <v>0.52</v>
      </c>
      <c r="M40" s="1">
        <v>1202</v>
      </c>
    </row>
    <row r="41" spans="1:13" x14ac:dyDescent="0.2">
      <c r="A41" s="1">
        <v>1211</v>
      </c>
      <c r="B41" s="3">
        <f>VLOOKUP("h1-bus"&amp;"-"&amp;A41,[1]flota_lineas_tp!$A$1:$F$65536,6,FALSE)</f>
        <v>1.08</v>
      </c>
      <c r="D41" s="1">
        <v>1211</v>
      </c>
      <c r="E41" s="3">
        <f>VLOOKUP("h2-bus"&amp;"-"&amp;D41,[1]flota_lineas_tp!$A$1:$F$65536,6,FALSE)</f>
        <v>1.55</v>
      </c>
      <c r="G41" s="1">
        <v>1211</v>
      </c>
      <c r="H41" s="3">
        <f>VLOOKUP("bus"&amp;"-"&amp;G41,[2]flota_lineas_tp!$A$1:$D$2000,4,FALSE)</f>
        <v>1.07</v>
      </c>
      <c r="J41" s="1">
        <v>1211</v>
      </c>
      <c r="K41" s="1">
        <f>VLOOKUP("bus"&amp;"-"&amp;J41,[3]flota_lineas_tp!$A$1:$D$2000,4,FALSE)</f>
        <v>1.89</v>
      </c>
      <c r="M41" s="1">
        <v>1211</v>
      </c>
    </row>
    <row r="42" spans="1:13" x14ac:dyDescent="0.2">
      <c r="A42" s="1">
        <v>1212</v>
      </c>
      <c r="B42" s="3">
        <f>VLOOKUP("h1-bus"&amp;"-"&amp;A42,[1]flota_lineas_tp!$A$1:$F$65536,6,FALSE)</f>
        <v>0.2</v>
      </c>
      <c r="D42" s="1">
        <v>1212</v>
      </c>
      <c r="E42" s="3">
        <f>VLOOKUP("h2-bus"&amp;"-"&amp;D42,[1]flota_lineas_tp!$A$1:$F$65536,6,FALSE)</f>
        <v>0.91</v>
      </c>
      <c r="G42" s="1">
        <v>1212</v>
      </c>
      <c r="H42" s="3">
        <f>VLOOKUP("bus"&amp;"-"&amp;G42,[2]flota_lineas_tp!$A$1:$D$2000,4,FALSE)</f>
        <v>0.63</v>
      </c>
      <c r="J42" s="1">
        <v>1212</v>
      </c>
      <c r="K42" s="1">
        <f>VLOOKUP("bus"&amp;"-"&amp;J42,[3]flota_lineas_tp!$A$1:$D$2000,4,FALSE)</f>
        <v>1.95</v>
      </c>
      <c r="M42" s="1">
        <v>1212</v>
      </c>
    </row>
    <row r="43" spans="1:13" x14ac:dyDescent="0.2">
      <c r="A43" s="1">
        <v>1221</v>
      </c>
      <c r="B43" s="3">
        <f>VLOOKUP("h1-bus"&amp;"-"&amp;A43,[1]flota_lineas_tp!$A$1:$F$65536,6,FALSE)</f>
        <v>3.92</v>
      </c>
      <c r="D43" s="1">
        <v>1221</v>
      </c>
      <c r="E43" s="3">
        <f>VLOOKUP("h2-bus"&amp;"-"&amp;D43,[1]flota_lineas_tp!$A$1:$F$65536,6,FALSE)</f>
        <v>5.7</v>
      </c>
      <c r="G43" s="1">
        <v>1221</v>
      </c>
      <c r="H43" s="3">
        <f>VLOOKUP("bus"&amp;"-"&amp;G43,[2]flota_lineas_tp!$A$1:$D$2000,4,FALSE)</f>
        <v>4.3600000000000003</v>
      </c>
      <c r="J43" s="1">
        <v>1221</v>
      </c>
      <c r="K43" s="1">
        <f>VLOOKUP("bus"&amp;"-"&amp;J43,[3]flota_lineas_tp!$A$1:$D$2000,4,FALSE)</f>
        <v>5.93</v>
      </c>
      <c r="M43" s="1">
        <v>1221</v>
      </c>
    </row>
    <row r="44" spans="1:13" x14ac:dyDescent="0.2">
      <c r="A44" s="1">
        <v>1222</v>
      </c>
      <c r="B44" s="3">
        <f>VLOOKUP("h1-bus"&amp;"-"&amp;A44,[1]flota_lineas_tp!$A$1:$F$65536,6,FALSE)</f>
        <v>3.12</v>
      </c>
      <c r="D44" s="1">
        <v>1222</v>
      </c>
      <c r="E44" s="3">
        <f>VLOOKUP("h2-bus"&amp;"-"&amp;D44,[1]flota_lineas_tp!$A$1:$F$65536,6,FALSE)</f>
        <v>5.56</v>
      </c>
      <c r="G44" s="1">
        <v>1222</v>
      </c>
      <c r="H44" s="3">
        <f>VLOOKUP("bus"&amp;"-"&amp;G44,[2]flota_lineas_tp!$A$1:$D$2000,4,FALSE)</f>
        <v>4.67</v>
      </c>
      <c r="J44" s="1">
        <v>1222</v>
      </c>
      <c r="K44" s="1">
        <f>VLOOKUP("bus"&amp;"-"&amp;J44,[3]flota_lineas_tp!$A$1:$D$2000,4,FALSE)</f>
        <v>3.33</v>
      </c>
      <c r="M44" s="1">
        <v>1222</v>
      </c>
    </row>
    <row r="45" spans="1:13" x14ac:dyDescent="0.2">
      <c r="A45" s="1">
        <v>1251</v>
      </c>
      <c r="B45" s="3">
        <f>VLOOKUP("h1-bus"&amp;"-"&amp;A45,[1]flota_lineas_tp!$A$1:$F$65536,6,FALSE)</f>
        <v>2</v>
      </c>
      <c r="D45" s="1">
        <v>1251</v>
      </c>
      <c r="E45" s="3">
        <f>VLOOKUP("h2-bus"&amp;"-"&amp;D45,[1]flota_lineas_tp!$A$1:$F$65536,6,FALSE)</f>
        <v>4.0999999999999996</v>
      </c>
      <c r="G45" s="1">
        <v>1251</v>
      </c>
      <c r="H45" s="3">
        <f>VLOOKUP("bus"&amp;"-"&amp;G45,[2]flota_lineas_tp!$A$1:$D$2000,4,FALSE)</f>
        <v>3.33</v>
      </c>
      <c r="J45" s="1">
        <v>1251</v>
      </c>
      <c r="K45" s="1">
        <f>VLOOKUP("bus"&amp;"-"&amp;J45,[3]flota_lineas_tp!$A$1:$D$2000,4,FALSE)</f>
        <v>1.77</v>
      </c>
      <c r="M45" s="1">
        <v>1251</v>
      </c>
    </row>
    <row r="46" spans="1:13" x14ac:dyDescent="0.2">
      <c r="A46" s="1">
        <v>1252</v>
      </c>
      <c r="B46" s="3">
        <f>VLOOKUP("h1-bus"&amp;"-"&amp;A46,[1]flota_lineas_tp!$A$1:$F$65536,6,FALSE)</f>
        <v>1.61</v>
      </c>
      <c r="D46" s="1">
        <v>1252</v>
      </c>
      <c r="E46" s="3">
        <f>VLOOKUP("h2-bus"&amp;"-"&amp;D46,[1]flota_lineas_tp!$A$1:$F$65536,6,FALSE)</f>
        <v>3.63</v>
      </c>
      <c r="G46" s="1">
        <v>1252</v>
      </c>
      <c r="H46" s="3">
        <f>VLOOKUP("bus"&amp;"-"&amp;G46,[2]flota_lineas_tp!$A$1:$D$2000,4,FALSE)</f>
        <v>2.86</v>
      </c>
      <c r="J46" s="1">
        <v>1252</v>
      </c>
      <c r="K46" s="1">
        <f>VLOOKUP("bus"&amp;"-"&amp;J46,[3]flota_lineas_tp!$A$1:$D$2000,4,FALSE)</f>
        <v>2.58</v>
      </c>
      <c r="M46" s="1">
        <v>1252</v>
      </c>
    </row>
    <row r="47" spans="1:13" x14ac:dyDescent="0.2">
      <c r="A47" s="1">
        <v>1261</v>
      </c>
      <c r="B47" s="3">
        <f>VLOOKUP("h1-bus"&amp;"-"&amp;A47,[1]flota_lineas_tp!$A$1:$F$65536,6,FALSE)</f>
        <v>0.25</v>
      </c>
      <c r="D47" s="1">
        <v>1261</v>
      </c>
      <c r="E47" s="3">
        <f>VLOOKUP("h2-bus"&amp;"-"&amp;D47,[1]flota_lineas_tp!$A$1:$F$65536,6,FALSE)</f>
        <v>0.47</v>
      </c>
      <c r="G47" s="1">
        <v>1261</v>
      </c>
      <c r="H47" s="3">
        <f>VLOOKUP("bus"&amp;"-"&amp;G47,[2]flota_lineas_tp!$A$1:$D$2000,4,FALSE)</f>
        <v>0.5</v>
      </c>
      <c r="J47" s="1">
        <v>1261</v>
      </c>
      <c r="K47" s="1">
        <f>VLOOKUP("bus"&amp;"-"&amp;J47,[3]flota_lineas_tp!$A$1:$D$2000,4,FALSE)</f>
        <v>0.47</v>
      </c>
      <c r="M47" s="1">
        <v>1261</v>
      </c>
    </row>
    <row r="48" spans="1:13" x14ac:dyDescent="0.2">
      <c r="A48" s="1">
        <v>1262</v>
      </c>
      <c r="B48" s="3">
        <f>VLOOKUP("h1-bus"&amp;"-"&amp;A48,[1]flota_lineas_tp!$A$1:$F$65536,6,FALSE)</f>
        <v>0.24</v>
      </c>
      <c r="D48" s="1">
        <v>1262</v>
      </c>
      <c r="E48" s="3">
        <f>VLOOKUP("h2-bus"&amp;"-"&amp;D48,[1]flota_lineas_tp!$A$1:$F$65536,6,FALSE)</f>
        <v>0.59</v>
      </c>
      <c r="G48" s="1">
        <v>1262</v>
      </c>
      <c r="H48" s="3">
        <f>VLOOKUP("bus"&amp;"-"&amp;G48,[2]flota_lineas_tp!$A$1:$D$2000,4,FALSE)</f>
        <v>0.71</v>
      </c>
      <c r="J48" s="1">
        <v>1262</v>
      </c>
      <c r="K48" s="1">
        <f>VLOOKUP("bus"&amp;"-"&amp;J48,[3]flota_lineas_tp!$A$1:$D$2000,4,FALSE)</f>
        <v>0.61</v>
      </c>
      <c r="M48" s="1">
        <v>1262</v>
      </c>
    </row>
    <row r="49" spans="1:13" x14ac:dyDescent="0.2">
      <c r="A49" s="1">
        <v>2011</v>
      </c>
      <c r="B49" s="3">
        <f>VLOOKUP("h1-bus"&amp;"-"&amp;A49,[1]flota_lineas_tp!$A$1:$F$65536,6,FALSE)</f>
        <v>8.5500000000000007</v>
      </c>
      <c r="D49" s="1">
        <v>2011</v>
      </c>
      <c r="E49" s="3">
        <f>VLOOKUP("h2-bus"&amp;"-"&amp;D49,[1]flota_lineas_tp!$A$1:$F$65536,6,FALSE)</f>
        <v>14.98</v>
      </c>
      <c r="G49" s="1">
        <v>2011</v>
      </c>
      <c r="H49" s="3">
        <f>VLOOKUP("bus"&amp;"-"&amp;G49,[2]flota_lineas_tp!$A$1:$D$2000,4,FALSE)</f>
        <v>12.06</v>
      </c>
      <c r="J49" s="1">
        <v>2011</v>
      </c>
      <c r="K49" s="1">
        <f>VLOOKUP("bus"&amp;"-"&amp;J49,[3]flota_lineas_tp!$A$1:$D$2000,4,FALSE)</f>
        <v>12.93</v>
      </c>
      <c r="M49" s="1">
        <v>2011</v>
      </c>
    </row>
    <row r="50" spans="1:13" x14ac:dyDescent="0.2">
      <c r="A50" s="1">
        <v>2012</v>
      </c>
      <c r="B50" s="3">
        <f>VLOOKUP("h1-bus"&amp;"-"&amp;A50,[1]flota_lineas_tp!$A$1:$F$65536,6,FALSE)</f>
        <v>4.76</v>
      </c>
      <c r="D50" s="1">
        <v>2012</v>
      </c>
      <c r="E50" s="3">
        <f>VLOOKUP("h2-bus"&amp;"-"&amp;D50,[1]flota_lineas_tp!$A$1:$F$65536,6,FALSE)</f>
        <v>9.26</v>
      </c>
      <c r="G50" s="1">
        <v>2012</v>
      </c>
      <c r="H50" s="3">
        <f>VLOOKUP("bus"&amp;"-"&amp;G50,[2]flota_lineas_tp!$A$1:$D$2000,4,FALSE)</f>
        <v>11.09</v>
      </c>
      <c r="J50" s="1">
        <v>2012</v>
      </c>
      <c r="K50" s="1">
        <f>VLOOKUP("bus"&amp;"-"&amp;J50,[3]flota_lineas_tp!$A$1:$D$2000,4,FALSE)</f>
        <v>10.87</v>
      </c>
      <c r="M50" s="1">
        <v>2012</v>
      </c>
    </row>
    <row r="51" spans="1:13" x14ac:dyDescent="0.2">
      <c r="A51" s="1">
        <v>2021</v>
      </c>
      <c r="B51" s="3">
        <f>VLOOKUP("h1-bus"&amp;"-"&amp;A51,[1]flota_lineas_tp!$A$1:$F$65536,6,FALSE)</f>
        <v>5.18</v>
      </c>
      <c r="D51" s="1">
        <v>2021</v>
      </c>
      <c r="E51" s="3">
        <f>VLOOKUP("h2-bus"&amp;"-"&amp;D51,[1]flota_lineas_tp!$A$1:$F$65536,6,FALSE)</f>
        <v>6</v>
      </c>
      <c r="G51" s="1">
        <v>2021</v>
      </c>
      <c r="H51" s="3">
        <f>VLOOKUP("bus"&amp;"-"&amp;G51,[2]flota_lineas_tp!$A$1:$D$2000,4,FALSE)</f>
        <v>4.71</v>
      </c>
      <c r="J51" s="1">
        <v>2021</v>
      </c>
      <c r="K51" s="1">
        <f>VLOOKUP("bus"&amp;"-"&amp;J51,[3]flota_lineas_tp!$A$1:$D$2000,4,FALSE)</f>
        <v>4.3</v>
      </c>
      <c r="M51" s="1">
        <v>2021</v>
      </c>
    </row>
    <row r="52" spans="1:13" x14ac:dyDescent="0.2">
      <c r="A52" s="1">
        <v>2022</v>
      </c>
      <c r="B52" s="3">
        <f>VLOOKUP("h1-bus"&amp;"-"&amp;A52,[1]flota_lineas_tp!$A$1:$F$65536,6,FALSE)</f>
        <v>2.42</v>
      </c>
      <c r="D52" s="1">
        <v>2022</v>
      </c>
      <c r="E52" s="3">
        <f>VLOOKUP("h2-bus"&amp;"-"&amp;D52,[1]flota_lineas_tp!$A$1:$F$65536,6,FALSE)</f>
        <v>4.5599999999999996</v>
      </c>
      <c r="G52" s="1">
        <v>2022</v>
      </c>
      <c r="H52" s="3">
        <f>VLOOKUP("bus"&amp;"-"&amp;G52,[2]flota_lineas_tp!$A$1:$D$2000,4,FALSE)</f>
        <v>4.0999999999999996</v>
      </c>
      <c r="J52" s="1">
        <v>2022</v>
      </c>
      <c r="K52" s="1">
        <f>VLOOKUP("bus"&amp;"-"&amp;J52,[3]flota_lineas_tp!$A$1:$D$2000,4,FALSE)</f>
        <v>3.59</v>
      </c>
      <c r="M52" s="1">
        <v>2022</v>
      </c>
    </row>
    <row r="53" spans="1:13" x14ac:dyDescent="0.2">
      <c r="A53" s="1">
        <v>2031</v>
      </c>
      <c r="B53" s="3">
        <f>VLOOKUP("h1-bus"&amp;"-"&amp;A53,[1]flota_lineas_tp!$A$1:$F$65536,6,FALSE)</f>
        <v>3.75</v>
      </c>
      <c r="D53" s="1">
        <v>2031</v>
      </c>
      <c r="E53" s="3">
        <f>VLOOKUP("h2-bus"&amp;"-"&amp;D53,[1]flota_lineas_tp!$A$1:$F$65536,6,FALSE)</f>
        <v>7.77</v>
      </c>
      <c r="G53" s="1">
        <v>2031</v>
      </c>
      <c r="H53" s="3">
        <f>VLOOKUP("bus"&amp;"-"&amp;G53,[2]flota_lineas_tp!$A$1:$D$2000,4,FALSE)</f>
        <v>4.96</v>
      </c>
      <c r="J53" s="1">
        <v>2031</v>
      </c>
      <c r="K53" s="1">
        <f>VLOOKUP("bus"&amp;"-"&amp;J53,[3]flota_lineas_tp!$A$1:$D$2000,4,FALSE)</f>
        <v>3.62</v>
      </c>
      <c r="M53" s="1">
        <v>2031</v>
      </c>
    </row>
    <row r="54" spans="1:13" x14ac:dyDescent="0.2">
      <c r="A54" s="1">
        <v>2032</v>
      </c>
      <c r="B54" s="3">
        <f>VLOOKUP("h1-bus"&amp;"-"&amp;A54,[1]flota_lineas_tp!$A$1:$F$65536,6,FALSE)</f>
        <v>3.76</v>
      </c>
      <c r="D54" s="1">
        <v>2032</v>
      </c>
      <c r="E54" s="3">
        <f>VLOOKUP("h2-bus"&amp;"-"&amp;D54,[1]flota_lineas_tp!$A$1:$F$65536,6,FALSE)</f>
        <v>5.92</v>
      </c>
      <c r="G54" s="1">
        <v>2032</v>
      </c>
      <c r="H54" s="3">
        <f>VLOOKUP("bus"&amp;"-"&amp;G54,[2]flota_lineas_tp!$A$1:$D$2000,4,FALSE)</f>
        <v>4.84</v>
      </c>
      <c r="J54" s="1">
        <v>2032</v>
      </c>
      <c r="K54" s="1">
        <f>VLOOKUP("bus"&amp;"-"&amp;J54,[3]flota_lineas_tp!$A$1:$D$2000,4,FALSE)</f>
        <v>1.38</v>
      </c>
      <c r="M54" s="1">
        <v>2032</v>
      </c>
    </row>
    <row r="55" spans="1:13" x14ac:dyDescent="0.2">
      <c r="A55" s="1">
        <v>2041</v>
      </c>
      <c r="B55" s="3">
        <f>VLOOKUP("h1-bus"&amp;"-"&amp;A55,[1]flota_lineas_tp!$A$1:$F$65536,6,FALSE)</f>
        <v>9.34</v>
      </c>
      <c r="D55" s="1">
        <v>2041</v>
      </c>
      <c r="E55" s="3">
        <f>VLOOKUP("h2-bus"&amp;"-"&amp;D55,[1]flota_lineas_tp!$A$1:$F$65536,6,FALSE)</f>
        <v>15.79</v>
      </c>
      <c r="G55" s="1">
        <v>2041</v>
      </c>
      <c r="H55" s="3">
        <f>VLOOKUP("bus"&amp;"-"&amp;G55,[2]flota_lineas_tp!$A$1:$D$2000,4,FALSE)</f>
        <v>4.4800000000000004</v>
      </c>
      <c r="J55" s="1">
        <v>2041</v>
      </c>
      <c r="K55" s="1">
        <f>VLOOKUP("bus"&amp;"-"&amp;J55,[3]flota_lineas_tp!$A$1:$D$2000,4,FALSE)</f>
        <v>4.21</v>
      </c>
      <c r="M55" s="1">
        <v>2041</v>
      </c>
    </row>
    <row r="56" spans="1:13" x14ac:dyDescent="0.2">
      <c r="A56" s="1">
        <v>2042</v>
      </c>
      <c r="B56" s="3">
        <f>VLOOKUP("h1-bus"&amp;"-"&amp;A56,[1]flota_lineas_tp!$A$1:$F$65536,6,FALSE)</f>
        <v>3.26</v>
      </c>
      <c r="D56" s="1">
        <v>2042</v>
      </c>
      <c r="E56" s="3">
        <f>VLOOKUP("h2-bus"&amp;"-"&amp;D56,[1]flota_lineas_tp!$A$1:$F$65536,6,FALSE)</f>
        <v>5.67</v>
      </c>
      <c r="G56" s="1">
        <v>2042</v>
      </c>
      <c r="H56" s="3">
        <f>VLOOKUP("bus"&amp;"-"&amp;G56,[2]flota_lineas_tp!$A$1:$D$2000,4,FALSE)</f>
        <v>4.12</v>
      </c>
      <c r="J56" s="1">
        <v>2042</v>
      </c>
      <c r="K56" s="1">
        <f>VLOOKUP("bus"&amp;"-"&amp;J56,[3]flota_lineas_tp!$A$1:$D$2000,4,FALSE)</f>
        <v>6.37</v>
      </c>
      <c r="M56" s="1">
        <v>2042</v>
      </c>
    </row>
    <row r="57" spans="1:13" x14ac:dyDescent="0.2">
      <c r="A57" s="1">
        <v>2051</v>
      </c>
      <c r="B57" s="3">
        <f>VLOOKUP("h1-bus"&amp;"-"&amp;A57,[1]flota_lineas_tp!$A$1:$F$65536,6,FALSE)</f>
        <v>6.87</v>
      </c>
      <c r="D57" s="1">
        <v>2051</v>
      </c>
      <c r="E57" s="3">
        <f>VLOOKUP("h2-bus"&amp;"-"&amp;D57,[1]flota_lineas_tp!$A$1:$F$65536,6,FALSE)</f>
        <v>9.74</v>
      </c>
      <c r="G57" s="1">
        <v>2051</v>
      </c>
      <c r="H57" s="3">
        <f>VLOOKUP("bus"&amp;"-"&amp;G57,[2]flota_lineas_tp!$A$1:$D$2000,4,FALSE)</f>
        <v>8.61</v>
      </c>
      <c r="J57" s="1">
        <v>2051</v>
      </c>
      <c r="K57" s="1">
        <f>VLOOKUP("bus"&amp;"-"&amp;J57,[3]flota_lineas_tp!$A$1:$D$2000,4,FALSE)</f>
        <v>8.08</v>
      </c>
      <c r="M57" s="1">
        <v>2051</v>
      </c>
    </row>
    <row r="58" spans="1:13" x14ac:dyDescent="0.2">
      <c r="A58" s="1">
        <v>2052</v>
      </c>
      <c r="B58" s="3">
        <f>VLOOKUP("h1-bus"&amp;"-"&amp;A58,[1]flota_lineas_tp!$A$1:$F$65536,6,FALSE)</f>
        <v>3.73</v>
      </c>
      <c r="D58" s="1">
        <v>2052</v>
      </c>
      <c r="E58" s="3">
        <f>VLOOKUP("h2-bus"&amp;"-"&amp;D58,[1]flota_lineas_tp!$A$1:$F$65536,6,FALSE)</f>
        <v>6.81</v>
      </c>
      <c r="G58" s="1">
        <v>2052</v>
      </c>
      <c r="H58" s="3">
        <f>VLOOKUP("bus"&amp;"-"&amp;G58,[2]flota_lineas_tp!$A$1:$D$2000,4,FALSE)</f>
        <v>8.14</v>
      </c>
      <c r="J58" s="1">
        <v>2052</v>
      </c>
      <c r="K58" s="1">
        <f>VLOOKUP("bus"&amp;"-"&amp;J58,[3]flota_lineas_tp!$A$1:$D$2000,4,FALSE)</f>
        <v>8.5399999999999991</v>
      </c>
      <c r="M58" s="1">
        <v>2052</v>
      </c>
    </row>
    <row r="59" spans="1:13" x14ac:dyDescent="0.2">
      <c r="A59" s="1">
        <v>2071</v>
      </c>
      <c r="B59" s="3">
        <f>VLOOKUP("h1-bus"&amp;"-"&amp;A59,[1]flota_lineas_tp!$A$1:$F$65536,6,FALSE)</f>
        <v>2.38</v>
      </c>
      <c r="D59" s="1">
        <v>2071</v>
      </c>
      <c r="E59" s="3">
        <f>VLOOKUP("h2-bus"&amp;"-"&amp;D59,[1]flota_lineas_tp!$A$1:$F$65536,6,FALSE)</f>
        <v>5.08</v>
      </c>
      <c r="G59" s="1">
        <v>2071</v>
      </c>
      <c r="H59" s="3">
        <f>VLOOKUP("bus"&amp;"-"&amp;G59,[2]flota_lineas_tp!$A$1:$D$2000,4,FALSE)</f>
        <v>1.47</v>
      </c>
      <c r="J59" s="1">
        <v>2071</v>
      </c>
      <c r="K59" s="1">
        <f>VLOOKUP("bus"&amp;"-"&amp;J59,[3]flota_lineas_tp!$A$1:$D$2000,4,FALSE)</f>
        <v>1.01</v>
      </c>
      <c r="M59" s="1">
        <v>2071</v>
      </c>
    </row>
    <row r="60" spans="1:13" x14ac:dyDescent="0.2">
      <c r="A60" s="1">
        <v>2072</v>
      </c>
      <c r="B60" s="3">
        <f>VLOOKUP("h1-bus"&amp;"-"&amp;A60,[1]flota_lineas_tp!$A$1:$F$65536,6,FALSE)</f>
        <v>0.62</v>
      </c>
      <c r="D60" s="1">
        <v>2072</v>
      </c>
      <c r="E60" s="3">
        <f>VLOOKUP("h2-bus"&amp;"-"&amp;D60,[1]flota_lineas_tp!$A$1:$F$65536,6,FALSE)</f>
        <v>2.46</v>
      </c>
      <c r="G60" s="1">
        <v>2072</v>
      </c>
      <c r="H60" s="3">
        <f>VLOOKUP("bus"&amp;"-"&amp;G60,[2]flota_lineas_tp!$A$1:$D$2000,4,FALSE)</f>
        <v>0.69</v>
      </c>
      <c r="J60" s="1">
        <v>2072</v>
      </c>
      <c r="K60" s="1">
        <f>VLOOKUP("bus"&amp;"-"&amp;J60,[3]flota_lineas_tp!$A$1:$D$2000,4,FALSE)</f>
        <v>1.65</v>
      </c>
      <c r="M60" s="1">
        <v>2072</v>
      </c>
    </row>
    <row r="61" spans="1:13" x14ac:dyDescent="0.2">
      <c r="A61" s="1">
        <v>2081</v>
      </c>
      <c r="B61" s="3">
        <f>VLOOKUP("h1-bus"&amp;"-"&amp;A61,[1]flota_lineas_tp!$A$1:$F$65536,6,FALSE)</f>
        <v>0.97</v>
      </c>
      <c r="D61" s="1">
        <v>2081</v>
      </c>
      <c r="E61" s="3">
        <f>VLOOKUP("h2-bus"&amp;"-"&amp;D61,[1]flota_lineas_tp!$A$1:$F$65536,6,FALSE)</f>
        <v>1.23</v>
      </c>
      <c r="G61" s="1">
        <v>2081</v>
      </c>
      <c r="H61" s="3">
        <f>VLOOKUP("bus"&amp;"-"&amp;G61,[2]flota_lineas_tp!$A$1:$D$2000,4,FALSE)</f>
        <v>1.06</v>
      </c>
      <c r="J61" s="1">
        <v>2081</v>
      </c>
      <c r="K61" s="1">
        <f>VLOOKUP("bus"&amp;"-"&amp;J61,[3]flota_lineas_tp!$A$1:$D$2000,4,FALSE)</f>
        <v>1.1299999999999999</v>
      </c>
      <c r="M61" s="1">
        <v>2081</v>
      </c>
    </row>
    <row r="62" spans="1:13" x14ac:dyDescent="0.2">
      <c r="A62" s="1">
        <v>2082</v>
      </c>
      <c r="B62" s="3">
        <f>VLOOKUP("h1-bus"&amp;"-"&amp;A62,[1]flota_lineas_tp!$A$1:$F$65536,6,FALSE)</f>
        <v>0.99</v>
      </c>
      <c r="D62" s="1">
        <v>2082</v>
      </c>
      <c r="E62" s="3">
        <f>VLOOKUP("h2-bus"&amp;"-"&amp;D62,[1]flota_lineas_tp!$A$1:$F$65536,6,FALSE)</f>
        <v>1.27</v>
      </c>
      <c r="G62" s="1">
        <v>2082</v>
      </c>
      <c r="H62" s="3">
        <f>VLOOKUP("bus"&amp;"-"&amp;G62,[2]flota_lineas_tp!$A$1:$D$2000,4,FALSE)</f>
        <v>1.06</v>
      </c>
      <c r="J62" s="1">
        <v>2082</v>
      </c>
      <c r="K62" s="1">
        <f>VLOOKUP("bus"&amp;"-"&amp;J62,[3]flota_lineas_tp!$A$1:$D$2000,4,FALSE)</f>
        <v>2.34</v>
      </c>
      <c r="M62" s="1">
        <v>2082</v>
      </c>
    </row>
    <row r="63" spans="1:13" x14ac:dyDescent="0.2">
      <c r="A63" s="1">
        <v>2091</v>
      </c>
      <c r="B63" s="3">
        <f>VLOOKUP("h1-bus"&amp;"-"&amp;A63,[1]flota_lineas_tp!$A$1:$F$65536,6,FALSE)</f>
        <v>7.9</v>
      </c>
      <c r="D63" s="1">
        <v>2091</v>
      </c>
      <c r="E63" s="3">
        <f>VLOOKUP("h2-bus"&amp;"-"&amp;D63,[1]flota_lineas_tp!$A$1:$F$65536,6,FALSE)</f>
        <v>11.46</v>
      </c>
      <c r="G63" s="1">
        <v>2091</v>
      </c>
      <c r="H63" s="3">
        <f>VLOOKUP("bus"&amp;"-"&amp;G63,[2]flota_lineas_tp!$A$1:$D$2000,4,FALSE)</f>
        <v>8.43</v>
      </c>
      <c r="J63" s="1">
        <v>2091</v>
      </c>
      <c r="K63" s="1">
        <f>VLOOKUP("bus"&amp;"-"&amp;J63,[3]flota_lineas_tp!$A$1:$D$2000,4,FALSE)</f>
        <v>7.97</v>
      </c>
      <c r="M63" s="1">
        <v>2091</v>
      </c>
    </row>
    <row r="64" spans="1:13" x14ac:dyDescent="0.2">
      <c r="A64" s="1">
        <v>2092</v>
      </c>
      <c r="B64" s="3">
        <f>VLOOKUP("h1-bus"&amp;"-"&amp;A64,[1]flota_lineas_tp!$A$1:$F$65536,6,FALSE)</f>
        <v>3.68</v>
      </c>
      <c r="D64" s="1">
        <v>2092</v>
      </c>
      <c r="E64" s="3">
        <f>VLOOKUP("h2-bus"&amp;"-"&amp;D64,[1]flota_lineas_tp!$A$1:$F$65536,6,FALSE)</f>
        <v>7</v>
      </c>
      <c r="G64" s="1">
        <v>2092</v>
      </c>
      <c r="H64" s="3">
        <f>VLOOKUP("bus"&amp;"-"&amp;G64,[2]flota_lineas_tp!$A$1:$D$2000,4,FALSE)</f>
        <v>7.98</v>
      </c>
      <c r="J64" s="1">
        <v>2092</v>
      </c>
      <c r="K64" s="1">
        <f>VLOOKUP("bus"&amp;"-"&amp;J64,[3]flota_lineas_tp!$A$1:$D$2000,4,FALSE)</f>
        <v>7.49</v>
      </c>
      <c r="M64" s="1">
        <v>2092</v>
      </c>
    </row>
    <row r="65" spans="1:13" x14ac:dyDescent="0.2">
      <c r="A65" s="1">
        <v>2101</v>
      </c>
      <c r="B65" s="3">
        <f>VLOOKUP("h1-bus"&amp;"-"&amp;A65,[1]flota_lineas_tp!$A$1:$F$65536,6,FALSE)</f>
        <v>8.59</v>
      </c>
      <c r="D65" s="1">
        <v>2101</v>
      </c>
      <c r="E65" s="3">
        <f>VLOOKUP("h2-bus"&amp;"-"&amp;D65,[1]flota_lineas_tp!$A$1:$F$65536,6,FALSE)</f>
        <v>10.81</v>
      </c>
      <c r="G65" s="1">
        <v>2101</v>
      </c>
      <c r="H65" s="3">
        <f>VLOOKUP("bus"&amp;"-"&amp;G65,[2]flota_lineas_tp!$A$1:$D$2000,4,FALSE)</f>
        <v>6.85</v>
      </c>
      <c r="J65" s="1">
        <v>2101</v>
      </c>
      <c r="K65" s="1">
        <f>VLOOKUP("bus"&amp;"-"&amp;J65,[3]flota_lineas_tp!$A$1:$D$2000,4,FALSE)</f>
        <v>4.95</v>
      </c>
      <c r="M65" s="1">
        <v>2101</v>
      </c>
    </row>
    <row r="66" spans="1:13" x14ac:dyDescent="0.2">
      <c r="A66" s="1">
        <v>2102</v>
      </c>
      <c r="B66" s="3">
        <f>VLOOKUP("h1-bus"&amp;"-"&amp;A66,[1]flota_lineas_tp!$A$1:$F$65536,6,FALSE)</f>
        <v>6.34</v>
      </c>
      <c r="D66" s="1">
        <v>2102</v>
      </c>
      <c r="E66" s="3">
        <f>VLOOKUP("h2-bus"&amp;"-"&amp;D66,[1]flota_lineas_tp!$A$1:$F$65536,6,FALSE)</f>
        <v>9.1999999999999993</v>
      </c>
      <c r="G66" s="1">
        <v>2102</v>
      </c>
      <c r="H66" s="3">
        <f>VLOOKUP("bus"&amp;"-"&amp;G66,[2]flota_lineas_tp!$A$1:$D$2000,4,FALSE)</f>
        <v>7.48</v>
      </c>
      <c r="J66" s="1">
        <v>2102</v>
      </c>
      <c r="K66" s="1">
        <f>VLOOKUP("bus"&amp;"-"&amp;J66,[3]flota_lineas_tp!$A$1:$D$2000,4,FALSE)</f>
        <v>12.64</v>
      </c>
      <c r="M66" s="1">
        <v>2102</v>
      </c>
    </row>
    <row r="67" spans="1:13" x14ac:dyDescent="0.2">
      <c r="A67" s="1">
        <v>2111</v>
      </c>
      <c r="B67" s="3">
        <f>VLOOKUP("h1-bus"&amp;"-"&amp;A67,[1]flota_lineas_tp!$A$1:$F$65536,6,FALSE)</f>
        <v>3.44</v>
      </c>
      <c r="D67" s="1">
        <v>2111</v>
      </c>
      <c r="E67" s="3">
        <f>VLOOKUP("h2-bus"&amp;"-"&amp;D67,[1]flota_lineas_tp!$A$1:$F$65536,6,FALSE)</f>
        <v>5.34</v>
      </c>
      <c r="G67" s="1">
        <v>2111</v>
      </c>
      <c r="H67" s="3">
        <f>VLOOKUP("bus"&amp;"-"&amp;G67,[2]flota_lineas_tp!$A$1:$D$2000,4,FALSE)</f>
        <v>3.99</v>
      </c>
      <c r="J67" s="1">
        <v>2111</v>
      </c>
      <c r="K67" s="1">
        <f>VLOOKUP("bus"&amp;"-"&amp;J67,[3]flota_lineas_tp!$A$1:$D$2000,4,FALSE)</f>
        <v>0.91</v>
      </c>
      <c r="M67" s="1">
        <v>2111</v>
      </c>
    </row>
    <row r="68" spans="1:13" x14ac:dyDescent="0.2">
      <c r="A68" s="1">
        <v>2112</v>
      </c>
      <c r="B68" s="3">
        <f>VLOOKUP("h1-bus"&amp;"-"&amp;A68,[1]flota_lineas_tp!$A$1:$F$65536,6,FALSE)</f>
        <v>2.4900000000000002</v>
      </c>
      <c r="D68" s="1">
        <v>2112</v>
      </c>
      <c r="E68" s="3">
        <f>VLOOKUP("h2-bus"&amp;"-"&amp;D68,[1]flota_lineas_tp!$A$1:$F$65536,6,FALSE)</f>
        <v>5.28</v>
      </c>
      <c r="G68" s="1">
        <v>2112</v>
      </c>
      <c r="H68" s="3">
        <f>VLOOKUP("bus"&amp;"-"&amp;G68,[2]flota_lineas_tp!$A$1:$D$2000,4,FALSE)</f>
        <v>4.09</v>
      </c>
      <c r="J68" s="1">
        <v>2112</v>
      </c>
      <c r="K68" s="1">
        <f>VLOOKUP("bus"&amp;"-"&amp;J68,[3]flota_lineas_tp!$A$1:$D$2000,4,FALSE)</f>
        <v>4.26</v>
      </c>
      <c r="M68" s="1">
        <v>2112</v>
      </c>
    </row>
    <row r="69" spans="1:13" x14ac:dyDescent="0.2">
      <c r="A69" s="1">
        <v>2121</v>
      </c>
      <c r="B69" s="3">
        <f>VLOOKUP("h1-bus"&amp;"-"&amp;A69,[1]flota_lineas_tp!$A$1:$F$65536,6,FALSE)</f>
        <v>7.11</v>
      </c>
      <c r="D69" s="1">
        <v>2121</v>
      </c>
      <c r="E69" s="3">
        <f>VLOOKUP("h2-bus"&amp;"-"&amp;D69,[1]flota_lineas_tp!$A$1:$F$65536,6,FALSE)</f>
        <v>10.3</v>
      </c>
      <c r="G69" s="1">
        <v>2121</v>
      </c>
      <c r="H69" s="3">
        <f>VLOOKUP("bus"&amp;"-"&amp;G69,[2]flota_lineas_tp!$A$1:$D$2000,4,FALSE)</f>
        <v>9.17</v>
      </c>
      <c r="J69" s="1">
        <v>2121</v>
      </c>
      <c r="K69" s="1">
        <f>VLOOKUP("bus"&amp;"-"&amp;J69,[3]flota_lineas_tp!$A$1:$D$2000,4,FALSE)</f>
        <v>8.5399999999999991</v>
      </c>
      <c r="M69" s="1">
        <v>2121</v>
      </c>
    </row>
    <row r="70" spans="1:13" x14ac:dyDescent="0.2">
      <c r="A70" s="1">
        <v>2122</v>
      </c>
      <c r="B70" s="3">
        <f>VLOOKUP("h1-bus"&amp;"-"&amp;A70,[1]flota_lineas_tp!$A$1:$F$65536,6,FALSE)</f>
        <v>2.5</v>
      </c>
      <c r="D70" s="1">
        <v>2122</v>
      </c>
      <c r="E70" s="3">
        <f>VLOOKUP("h2-bus"&amp;"-"&amp;D70,[1]flota_lineas_tp!$A$1:$F$65536,6,FALSE)</f>
        <v>7.36</v>
      </c>
      <c r="G70" s="1">
        <v>2122</v>
      </c>
      <c r="H70" s="3">
        <f>VLOOKUP("bus"&amp;"-"&amp;G70,[2]flota_lineas_tp!$A$1:$D$2000,4,FALSE)</f>
        <v>6.31</v>
      </c>
      <c r="J70" s="1">
        <v>2122</v>
      </c>
      <c r="K70" s="1">
        <f>VLOOKUP("bus"&amp;"-"&amp;J70,[3]flota_lineas_tp!$A$1:$D$2000,4,FALSE)</f>
        <v>7.29</v>
      </c>
      <c r="M70" s="1">
        <v>2122</v>
      </c>
    </row>
    <row r="71" spans="1:13" x14ac:dyDescent="0.2">
      <c r="A71" s="1">
        <v>2131</v>
      </c>
      <c r="B71" s="3">
        <f>VLOOKUP("h1-bus"&amp;"-"&amp;A71,[1]flota_lineas_tp!$A$1:$F$65536,6,FALSE)</f>
        <v>7.92</v>
      </c>
      <c r="D71" s="1">
        <v>2131</v>
      </c>
      <c r="E71" s="3">
        <f>VLOOKUP("h2-bus"&amp;"-"&amp;D71,[1]flota_lineas_tp!$A$1:$F$65536,6,FALSE)</f>
        <v>11.06</v>
      </c>
      <c r="G71" s="1">
        <v>2131</v>
      </c>
      <c r="H71" s="3">
        <f>VLOOKUP("bus"&amp;"-"&amp;G71,[2]flota_lineas_tp!$A$1:$D$2000,4,FALSE)</f>
        <v>8.2899999999999991</v>
      </c>
      <c r="J71" s="1">
        <v>2131</v>
      </c>
      <c r="K71" s="1">
        <f>VLOOKUP("bus"&amp;"-"&amp;J71,[3]flota_lineas_tp!$A$1:$D$2000,4,FALSE)</f>
        <v>6.23</v>
      </c>
      <c r="M71" s="1">
        <v>2131</v>
      </c>
    </row>
    <row r="72" spans="1:13" x14ac:dyDescent="0.2">
      <c r="A72" s="1">
        <v>2132</v>
      </c>
      <c r="B72" s="3">
        <f>VLOOKUP("h1-bus"&amp;"-"&amp;A72,[1]flota_lineas_tp!$A$1:$F$65536,6,FALSE)</f>
        <v>5.1100000000000003</v>
      </c>
      <c r="D72" s="1">
        <v>2132</v>
      </c>
      <c r="E72" s="3">
        <f>VLOOKUP("h2-bus"&amp;"-"&amp;D72,[1]flota_lineas_tp!$A$1:$F$65536,6,FALSE)</f>
        <v>7.58</v>
      </c>
      <c r="G72" s="1">
        <v>2132</v>
      </c>
      <c r="H72" s="3">
        <f>VLOOKUP("bus"&amp;"-"&amp;G72,[2]flota_lineas_tp!$A$1:$D$2000,4,FALSE)</f>
        <v>8.6999999999999993</v>
      </c>
      <c r="J72" s="1">
        <v>2132</v>
      </c>
      <c r="K72" s="1">
        <f>VLOOKUP("bus"&amp;"-"&amp;J72,[3]flota_lineas_tp!$A$1:$D$2000,4,FALSE)</f>
        <v>7.12</v>
      </c>
      <c r="M72" s="1">
        <v>2132</v>
      </c>
    </row>
    <row r="73" spans="1:13" x14ac:dyDescent="0.2">
      <c r="A73" s="1">
        <v>2141</v>
      </c>
      <c r="B73" s="3">
        <f>VLOOKUP("h1-bus"&amp;"-"&amp;A73,[1]flota_lineas_tp!$A$1:$F$65536,6,FALSE)</f>
        <v>13.8</v>
      </c>
      <c r="D73" s="1">
        <v>2141</v>
      </c>
      <c r="E73" s="3">
        <f>VLOOKUP("h2-bus"&amp;"-"&amp;D73,[1]flota_lineas_tp!$A$1:$F$65536,6,FALSE)</f>
        <v>17.89</v>
      </c>
      <c r="G73" s="1">
        <v>2141</v>
      </c>
      <c r="H73" s="3">
        <f>VLOOKUP("bus"&amp;"-"&amp;G73,[2]flota_lineas_tp!$A$1:$D$2000,4,FALSE)</f>
        <v>10.64</v>
      </c>
      <c r="J73" s="1">
        <v>2141</v>
      </c>
      <c r="K73" s="1">
        <f>VLOOKUP("bus"&amp;"-"&amp;J73,[3]flota_lineas_tp!$A$1:$D$2000,4,FALSE)</f>
        <v>12.06</v>
      </c>
      <c r="M73" s="1">
        <v>2141</v>
      </c>
    </row>
    <row r="74" spans="1:13" x14ac:dyDescent="0.2">
      <c r="A74" s="1">
        <v>2142</v>
      </c>
      <c r="B74" s="3">
        <f>VLOOKUP("h1-bus"&amp;"-"&amp;A74,[1]flota_lineas_tp!$A$1:$F$65536,6,FALSE)</f>
        <v>5.93</v>
      </c>
      <c r="D74" s="1">
        <v>2142</v>
      </c>
      <c r="E74" s="3">
        <f>VLOOKUP("h2-bus"&amp;"-"&amp;D74,[1]flota_lineas_tp!$A$1:$F$65536,6,FALSE)</f>
        <v>11.69</v>
      </c>
      <c r="G74" s="1">
        <v>2142</v>
      </c>
      <c r="H74" s="3">
        <f>VLOOKUP("bus"&amp;"-"&amp;G74,[2]flota_lineas_tp!$A$1:$D$2000,4,FALSE)</f>
        <v>9.74</v>
      </c>
      <c r="J74" s="1">
        <v>2142</v>
      </c>
      <c r="K74" s="1">
        <f>VLOOKUP("bus"&amp;"-"&amp;J74,[3]flota_lineas_tp!$A$1:$D$2000,4,FALSE)</f>
        <v>9.5500000000000007</v>
      </c>
      <c r="M74" s="1">
        <v>2142</v>
      </c>
    </row>
    <row r="75" spans="1:13" x14ac:dyDescent="0.2">
      <c r="A75" s="1">
        <v>2151</v>
      </c>
      <c r="B75" s="3">
        <f>VLOOKUP("h1-bus"&amp;"-"&amp;A75,[1]flota_lineas_tp!$A$1:$F$65536,6,FALSE)</f>
        <v>2.65</v>
      </c>
      <c r="D75" s="1">
        <v>2151</v>
      </c>
      <c r="E75" s="3">
        <f>VLOOKUP("h2-bus"&amp;"-"&amp;D75,[1]flota_lineas_tp!$A$1:$F$65536,6,FALSE)</f>
        <v>5.81</v>
      </c>
      <c r="G75" s="1">
        <v>2151</v>
      </c>
      <c r="H75" s="3">
        <f>VLOOKUP("bus"&amp;"-"&amp;G75,[2]flota_lineas_tp!$A$1:$D$2000,4,FALSE)</f>
        <v>4.5599999999999996</v>
      </c>
      <c r="J75" s="1">
        <v>2151</v>
      </c>
      <c r="K75" s="1">
        <f>VLOOKUP("bus"&amp;"-"&amp;J75,[3]flota_lineas_tp!$A$1:$D$2000,4,FALSE)</f>
        <v>3.67</v>
      </c>
      <c r="M75" s="1">
        <v>2151</v>
      </c>
    </row>
    <row r="76" spans="1:13" x14ac:dyDescent="0.2">
      <c r="A76" s="1">
        <v>2152</v>
      </c>
      <c r="B76" s="3">
        <f>VLOOKUP("h1-bus"&amp;"-"&amp;A76,[1]flota_lineas_tp!$A$1:$F$65536,6,FALSE)</f>
        <v>0.82</v>
      </c>
      <c r="D76" s="1">
        <v>2152</v>
      </c>
      <c r="E76" s="3">
        <f>VLOOKUP("h2-bus"&amp;"-"&amp;D76,[1]flota_lineas_tp!$A$1:$F$65536,6,FALSE)</f>
        <v>1</v>
      </c>
      <c r="G76" s="1">
        <v>2152</v>
      </c>
      <c r="H76" s="3">
        <f>VLOOKUP("bus"&amp;"-"&amp;G76,[2]flota_lineas_tp!$A$1:$D$2000,4,FALSE)</f>
        <v>0.88</v>
      </c>
      <c r="J76" s="1">
        <v>2152</v>
      </c>
      <c r="K76" s="1">
        <f>VLOOKUP("bus"&amp;"-"&amp;J76,[3]flota_lineas_tp!$A$1:$D$2000,4,FALSE)</f>
        <v>1.37</v>
      </c>
      <c r="M76" s="1">
        <v>2152</v>
      </c>
    </row>
    <row r="77" spans="1:13" x14ac:dyDescent="0.2">
      <c r="A77" s="1">
        <v>2161</v>
      </c>
      <c r="B77" s="3">
        <f>VLOOKUP("h1-bus"&amp;"-"&amp;A77,[1]flota_lineas_tp!$A$1:$F$65536,6,FALSE)</f>
        <v>5.0199999999999996</v>
      </c>
      <c r="D77" s="1">
        <v>2161</v>
      </c>
      <c r="E77" s="3">
        <f>VLOOKUP("h2-bus"&amp;"-"&amp;D77,[1]flota_lineas_tp!$A$1:$F$65536,6,FALSE)</f>
        <v>6.12</v>
      </c>
      <c r="G77" s="1">
        <v>2161</v>
      </c>
      <c r="H77" s="3">
        <f>VLOOKUP("bus"&amp;"-"&amp;G77,[2]flota_lineas_tp!$A$1:$D$2000,4,FALSE)</f>
        <v>3.99</v>
      </c>
      <c r="J77" s="1">
        <v>2161</v>
      </c>
      <c r="K77" s="1">
        <f>VLOOKUP("bus"&amp;"-"&amp;J77,[3]flota_lineas_tp!$A$1:$D$2000,4,FALSE)</f>
        <v>3.16</v>
      </c>
      <c r="M77" s="1">
        <v>2161</v>
      </c>
    </row>
    <row r="78" spans="1:13" x14ac:dyDescent="0.2">
      <c r="A78" s="1">
        <v>2162</v>
      </c>
      <c r="B78" s="3">
        <f>VLOOKUP("h1-bus"&amp;"-"&amp;A78,[1]flota_lineas_tp!$A$1:$F$65536,6,FALSE)</f>
        <v>4.95</v>
      </c>
      <c r="D78" s="1">
        <v>2162</v>
      </c>
      <c r="E78" s="3">
        <f>VLOOKUP("h2-bus"&amp;"-"&amp;D78,[1]flota_lineas_tp!$A$1:$F$65536,6,FALSE)</f>
        <v>8.52</v>
      </c>
      <c r="G78" s="1">
        <v>2162</v>
      </c>
      <c r="H78" s="3">
        <f>VLOOKUP("bus"&amp;"-"&amp;G78,[2]flota_lineas_tp!$A$1:$D$2000,4,FALSE)</f>
        <v>9.68</v>
      </c>
      <c r="J78" s="1">
        <v>2162</v>
      </c>
      <c r="K78" s="1">
        <f>VLOOKUP("bus"&amp;"-"&amp;J78,[3]flota_lineas_tp!$A$1:$D$2000,4,FALSE)</f>
        <v>8.9</v>
      </c>
      <c r="M78" s="1">
        <v>2162</v>
      </c>
    </row>
    <row r="79" spans="1:13" x14ac:dyDescent="0.2">
      <c r="A79" s="1">
        <v>3011</v>
      </c>
      <c r="B79" s="3">
        <f>VLOOKUP("h1-bus"&amp;"-"&amp;A79,[1]flota_lineas_tp!$A$1:$F$65536,6,FALSE)</f>
        <v>4.5999999999999996</v>
      </c>
      <c r="D79" s="1">
        <v>3011</v>
      </c>
      <c r="E79" s="3">
        <f>VLOOKUP("h2-bus"&amp;"-"&amp;D79,[1]flota_lineas_tp!$A$1:$F$65536,6,FALSE)</f>
        <v>7.42</v>
      </c>
      <c r="G79" s="1">
        <v>3011</v>
      </c>
      <c r="H79" s="3">
        <f>VLOOKUP("bus"&amp;"-"&amp;G79,[2]flota_lineas_tp!$A$1:$D$2000,4,FALSE)</f>
        <v>5.26</v>
      </c>
      <c r="J79" s="1">
        <v>3011</v>
      </c>
      <c r="K79" s="1">
        <f>VLOOKUP("bus"&amp;"-"&amp;J79,[3]flota_lineas_tp!$A$1:$D$2000,4,FALSE)</f>
        <v>3.53</v>
      </c>
      <c r="M79" s="1">
        <v>3011</v>
      </c>
    </row>
    <row r="80" spans="1:13" x14ac:dyDescent="0.2">
      <c r="A80" s="1">
        <v>3012</v>
      </c>
      <c r="B80" s="3">
        <f>VLOOKUP("h1-bus"&amp;"-"&amp;A80,[1]flota_lineas_tp!$A$1:$F$65536,6,FALSE)</f>
        <v>4.04</v>
      </c>
      <c r="D80" s="1">
        <v>3012</v>
      </c>
      <c r="E80" s="3">
        <f>VLOOKUP("h2-bus"&amp;"-"&amp;D80,[1]flota_lineas_tp!$A$1:$F$65536,6,FALSE)</f>
        <v>7.83</v>
      </c>
      <c r="G80" s="1">
        <v>3012</v>
      </c>
      <c r="H80" s="3">
        <f>VLOOKUP("bus"&amp;"-"&amp;G80,[2]flota_lineas_tp!$A$1:$D$2000,4,FALSE)</f>
        <v>5.66</v>
      </c>
      <c r="J80" s="1">
        <v>3012</v>
      </c>
      <c r="K80" s="1">
        <f>VLOOKUP("bus"&amp;"-"&amp;J80,[3]flota_lineas_tp!$A$1:$D$2000,4,FALSE)</f>
        <v>5.27</v>
      </c>
      <c r="M80" s="1">
        <v>3012</v>
      </c>
    </row>
    <row r="81" spans="1:13" x14ac:dyDescent="0.2">
      <c r="A81" s="1">
        <v>3021</v>
      </c>
      <c r="B81" s="3">
        <f>VLOOKUP("h1-bus"&amp;"-"&amp;A81,[1]flota_lineas_tp!$A$1:$F$65536,6,FALSE)</f>
        <v>9.31</v>
      </c>
      <c r="D81" s="1">
        <v>3021</v>
      </c>
      <c r="E81" s="3">
        <f>VLOOKUP("h2-bus"&amp;"-"&amp;D81,[1]flota_lineas_tp!$A$1:$F$65536,6,FALSE)</f>
        <v>11.8</v>
      </c>
      <c r="G81" s="1">
        <v>3021</v>
      </c>
      <c r="H81" s="3">
        <f>VLOOKUP("bus"&amp;"-"&amp;G81,[2]flota_lineas_tp!$A$1:$D$2000,4,FALSE)</f>
        <v>10.18</v>
      </c>
      <c r="J81" s="1">
        <v>3021</v>
      </c>
      <c r="K81" s="1">
        <f>VLOOKUP("bus"&amp;"-"&amp;J81,[3]flota_lineas_tp!$A$1:$D$2000,4,FALSE)</f>
        <v>13.27</v>
      </c>
      <c r="M81" s="1">
        <v>3021</v>
      </c>
    </row>
    <row r="82" spans="1:13" x14ac:dyDescent="0.2">
      <c r="A82" s="1">
        <v>3022</v>
      </c>
      <c r="B82" s="3">
        <f>VLOOKUP("h1-bus"&amp;"-"&amp;A82,[1]flota_lineas_tp!$A$1:$F$65536,6,FALSE)</f>
        <v>8.24</v>
      </c>
      <c r="D82" s="1">
        <v>3022</v>
      </c>
      <c r="E82" s="3">
        <f>VLOOKUP("h2-bus"&amp;"-"&amp;D82,[1]flota_lineas_tp!$A$1:$F$65536,6,FALSE)</f>
        <v>10.71</v>
      </c>
      <c r="G82" s="1">
        <v>3022</v>
      </c>
      <c r="H82" s="3">
        <f>VLOOKUP("bus"&amp;"-"&amp;G82,[2]flota_lineas_tp!$A$1:$D$2000,4,FALSE)</f>
        <v>8.35</v>
      </c>
      <c r="J82" s="1">
        <v>3022</v>
      </c>
      <c r="K82" s="1">
        <f>VLOOKUP("bus"&amp;"-"&amp;J82,[3]flota_lineas_tp!$A$1:$D$2000,4,FALSE)</f>
        <v>11.1</v>
      </c>
      <c r="M82" s="1">
        <v>3022</v>
      </c>
    </row>
    <row r="83" spans="1:13" x14ac:dyDescent="0.2">
      <c r="A83" s="1">
        <v>3031</v>
      </c>
      <c r="B83" s="3">
        <f>VLOOKUP("h1-bus"&amp;"-"&amp;A83,[1]flota_lineas_tp!$A$1:$F$65536,6,FALSE)</f>
        <v>10.33</v>
      </c>
      <c r="D83" s="1">
        <v>3031</v>
      </c>
      <c r="E83" s="3">
        <f>VLOOKUP("h2-bus"&amp;"-"&amp;D83,[1]flota_lineas_tp!$A$1:$F$65536,6,FALSE)</f>
        <v>10.93</v>
      </c>
      <c r="G83" s="1">
        <v>3031</v>
      </c>
      <c r="H83" s="3">
        <f>VLOOKUP("bus"&amp;"-"&amp;G83,[2]flota_lineas_tp!$A$1:$D$2000,4,FALSE)</f>
        <v>7.55</v>
      </c>
      <c r="J83" s="1">
        <v>3031</v>
      </c>
      <c r="K83" s="1">
        <f>VLOOKUP("bus"&amp;"-"&amp;J83,[3]flota_lineas_tp!$A$1:$D$2000,4,FALSE)</f>
        <v>1.38</v>
      </c>
      <c r="M83" s="1">
        <v>3031</v>
      </c>
    </row>
    <row r="84" spans="1:13" x14ac:dyDescent="0.2">
      <c r="A84" s="1">
        <v>3032</v>
      </c>
      <c r="B84" s="3">
        <f>VLOOKUP("h1-bus"&amp;"-"&amp;A84,[1]flota_lineas_tp!$A$1:$F$65536,6,FALSE)</f>
        <v>7.95</v>
      </c>
      <c r="D84" s="1">
        <v>3032</v>
      </c>
      <c r="E84" s="3">
        <f>VLOOKUP("h2-bus"&amp;"-"&amp;D84,[1]flota_lineas_tp!$A$1:$F$65536,6,FALSE)</f>
        <v>11.1</v>
      </c>
      <c r="G84" s="1">
        <v>3032</v>
      </c>
      <c r="H84" s="3">
        <f>VLOOKUP("bus"&amp;"-"&amp;G84,[2]flota_lineas_tp!$A$1:$D$2000,4,FALSE)</f>
        <v>8.74</v>
      </c>
      <c r="J84" s="1">
        <v>3032</v>
      </c>
      <c r="K84" s="1">
        <f>VLOOKUP("bus"&amp;"-"&amp;J84,[3]flota_lineas_tp!$A$1:$D$2000,4,FALSE)</f>
        <v>8.59</v>
      </c>
      <c r="M84" s="1">
        <v>3032</v>
      </c>
    </row>
    <row r="85" spans="1:13" x14ac:dyDescent="0.2">
      <c r="A85" s="1">
        <v>3041</v>
      </c>
      <c r="B85" s="3">
        <f>VLOOKUP("h1-bus"&amp;"-"&amp;A85,[1]flota_lineas_tp!$A$1:$F$65536,6,FALSE)</f>
        <v>10.42</v>
      </c>
      <c r="D85" s="1">
        <v>3041</v>
      </c>
      <c r="E85" s="3">
        <f>VLOOKUP("h2-bus"&amp;"-"&amp;D85,[1]flota_lineas_tp!$A$1:$F$65536,6,FALSE)</f>
        <v>15.04</v>
      </c>
      <c r="G85" s="1">
        <v>3041</v>
      </c>
      <c r="H85" s="3">
        <f>VLOOKUP("bus"&amp;"-"&amp;G85,[2]flota_lineas_tp!$A$1:$D$2000,4,FALSE)</f>
        <v>8.65</v>
      </c>
      <c r="J85" s="1">
        <v>3041</v>
      </c>
      <c r="K85" s="1">
        <f>VLOOKUP("bus"&amp;"-"&amp;J85,[3]flota_lineas_tp!$A$1:$D$2000,4,FALSE)</f>
        <v>9.83</v>
      </c>
      <c r="M85" s="1">
        <v>3041</v>
      </c>
    </row>
    <row r="86" spans="1:13" x14ac:dyDescent="0.2">
      <c r="A86" s="1">
        <v>3042</v>
      </c>
      <c r="B86" s="3">
        <f>VLOOKUP("h1-bus"&amp;"-"&amp;A86,[1]flota_lineas_tp!$A$1:$F$65536,6,FALSE)</f>
        <v>7.99</v>
      </c>
      <c r="D86" s="1">
        <v>3042</v>
      </c>
      <c r="E86" s="3">
        <f>VLOOKUP("h2-bus"&amp;"-"&amp;D86,[1]flota_lineas_tp!$A$1:$F$65536,6,FALSE)</f>
        <v>14.63</v>
      </c>
      <c r="G86" s="1">
        <v>3042</v>
      </c>
      <c r="H86" s="3">
        <f>VLOOKUP("bus"&amp;"-"&amp;G86,[2]flota_lineas_tp!$A$1:$D$2000,4,FALSE)</f>
        <v>9.27</v>
      </c>
      <c r="J86" s="1">
        <v>3042</v>
      </c>
      <c r="K86" s="1">
        <f>VLOOKUP("bus"&amp;"-"&amp;J86,[3]flota_lineas_tp!$A$1:$D$2000,4,FALSE)</f>
        <v>11.94</v>
      </c>
      <c r="M86" s="1">
        <v>3042</v>
      </c>
    </row>
    <row r="87" spans="1:13" x14ac:dyDescent="0.2">
      <c r="A87" s="1">
        <v>3051</v>
      </c>
      <c r="B87" s="3">
        <f>VLOOKUP("h1-bus"&amp;"-"&amp;A87,[1]flota_lineas_tp!$A$1:$F$65536,6,FALSE)</f>
        <v>6.7</v>
      </c>
      <c r="D87" s="1">
        <v>3051</v>
      </c>
      <c r="E87" s="3">
        <f>VLOOKUP("h2-bus"&amp;"-"&amp;D87,[1]flota_lineas_tp!$A$1:$F$65536,6,FALSE)</f>
        <v>7.8</v>
      </c>
      <c r="G87" s="1">
        <v>3051</v>
      </c>
      <c r="H87" s="3">
        <f>VLOOKUP("bus"&amp;"-"&amp;G87,[2]flota_lineas_tp!$A$1:$D$2000,4,FALSE)</f>
        <v>4.8600000000000003</v>
      </c>
      <c r="J87" s="1">
        <v>3051</v>
      </c>
      <c r="K87" s="1">
        <f>VLOOKUP("bus"&amp;"-"&amp;J87,[3]flota_lineas_tp!$A$1:$D$2000,4,FALSE)</f>
        <v>5.2</v>
      </c>
      <c r="M87" s="1">
        <v>3051</v>
      </c>
    </row>
    <row r="88" spans="1:13" x14ac:dyDescent="0.2">
      <c r="A88" s="1">
        <v>3052</v>
      </c>
      <c r="B88" s="3">
        <f>VLOOKUP("h1-bus"&amp;"-"&amp;A88,[1]flota_lineas_tp!$A$1:$F$65536,6,FALSE)</f>
        <v>5.43</v>
      </c>
      <c r="D88" s="1">
        <v>3052</v>
      </c>
      <c r="E88" s="3">
        <f>VLOOKUP("h2-bus"&amp;"-"&amp;D88,[1]flota_lineas_tp!$A$1:$F$65536,6,FALSE)</f>
        <v>7.65</v>
      </c>
      <c r="G88" s="1">
        <v>3052</v>
      </c>
      <c r="H88" s="3">
        <f>VLOOKUP("bus"&amp;"-"&amp;G88,[2]flota_lineas_tp!$A$1:$D$2000,4,FALSE)</f>
        <v>4.6500000000000004</v>
      </c>
      <c r="J88" s="1">
        <v>3052</v>
      </c>
      <c r="K88" s="1">
        <f>VLOOKUP("bus"&amp;"-"&amp;J88,[3]flota_lineas_tp!$A$1:$D$2000,4,FALSE)</f>
        <v>6.09</v>
      </c>
      <c r="M88" s="1">
        <v>3052</v>
      </c>
    </row>
    <row r="89" spans="1:13" x14ac:dyDescent="0.2">
      <c r="A89" s="1">
        <v>3061</v>
      </c>
      <c r="B89" s="3">
        <f>VLOOKUP("h1-bus"&amp;"-"&amp;A89,[1]flota_lineas_tp!$A$1:$F$65536,6,FALSE)</f>
        <v>3.81</v>
      </c>
      <c r="D89" s="1">
        <v>3061</v>
      </c>
      <c r="E89" s="3">
        <f>VLOOKUP("h2-bus"&amp;"-"&amp;D89,[1]flota_lineas_tp!$A$1:$F$65536,6,FALSE)</f>
        <v>4.9000000000000004</v>
      </c>
      <c r="G89" s="1">
        <v>3061</v>
      </c>
      <c r="H89" s="3">
        <f>VLOOKUP("bus"&amp;"-"&amp;G89,[2]flota_lineas_tp!$A$1:$D$2000,4,FALSE)</f>
        <v>4.34</v>
      </c>
      <c r="J89" s="1">
        <v>3061</v>
      </c>
      <c r="K89" s="1">
        <f>VLOOKUP("bus"&amp;"-"&amp;J89,[3]flota_lineas_tp!$A$1:$D$2000,4,FALSE)</f>
        <v>4.1900000000000004</v>
      </c>
      <c r="M89" s="1">
        <v>3061</v>
      </c>
    </row>
    <row r="90" spans="1:13" x14ac:dyDescent="0.2">
      <c r="A90" s="1">
        <v>3062</v>
      </c>
      <c r="B90" s="3">
        <f>VLOOKUP("h1-bus"&amp;"-"&amp;A90,[1]flota_lineas_tp!$A$1:$F$65536,6,FALSE)</f>
        <v>4.21</v>
      </c>
      <c r="D90" s="1">
        <v>3062</v>
      </c>
      <c r="E90" s="3">
        <f>VLOOKUP("h2-bus"&amp;"-"&amp;D90,[1]flota_lineas_tp!$A$1:$F$65536,6,FALSE)</f>
        <v>4.67</v>
      </c>
      <c r="G90" s="1">
        <v>3062</v>
      </c>
      <c r="H90" s="3">
        <f>VLOOKUP("bus"&amp;"-"&amp;G90,[2]flota_lineas_tp!$A$1:$D$2000,4,FALSE)</f>
        <v>4.93</v>
      </c>
      <c r="J90" s="1">
        <v>3062</v>
      </c>
      <c r="K90" s="1">
        <f>VLOOKUP("bus"&amp;"-"&amp;J90,[3]flota_lineas_tp!$A$1:$D$2000,4,FALSE)</f>
        <v>5.7</v>
      </c>
      <c r="M90" s="1">
        <v>3062</v>
      </c>
    </row>
    <row r="91" spans="1:13" x14ac:dyDescent="0.2">
      <c r="A91" s="1">
        <v>3071</v>
      </c>
      <c r="B91" s="3">
        <f>VLOOKUP("h1-bus"&amp;"-"&amp;A91,[1]flota_lineas_tp!$A$1:$F$65536,6,FALSE)</f>
        <v>13.48</v>
      </c>
      <c r="D91" s="1">
        <v>3071</v>
      </c>
      <c r="E91" s="3">
        <f>VLOOKUP("h2-bus"&amp;"-"&amp;D91,[1]flota_lineas_tp!$A$1:$F$65536,6,FALSE)</f>
        <v>15.97</v>
      </c>
      <c r="G91" s="1">
        <v>3071</v>
      </c>
      <c r="H91" s="3">
        <f>VLOOKUP("bus"&amp;"-"&amp;G91,[2]flota_lineas_tp!$A$1:$D$2000,4,FALSE)</f>
        <v>9.4700000000000006</v>
      </c>
      <c r="J91" s="1">
        <v>3071</v>
      </c>
      <c r="K91" s="1">
        <f>VLOOKUP("bus"&amp;"-"&amp;J91,[3]flota_lineas_tp!$A$1:$D$2000,4,FALSE)</f>
        <v>9.7899999999999991</v>
      </c>
      <c r="M91" s="1">
        <v>3071</v>
      </c>
    </row>
    <row r="92" spans="1:13" x14ac:dyDescent="0.2">
      <c r="A92" s="1">
        <v>3072</v>
      </c>
      <c r="B92" s="3">
        <f>VLOOKUP("h1-bus"&amp;"-"&amp;A92,[1]flota_lineas_tp!$A$1:$F$65536,6,FALSE)</f>
        <v>9.41</v>
      </c>
      <c r="D92" s="1">
        <v>3072</v>
      </c>
      <c r="E92" s="3">
        <f>VLOOKUP("h2-bus"&amp;"-"&amp;D92,[1]flota_lineas_tp!$A$1:$F$65536,6,FALSE)</f>
        <v>12.86</v>
      </c>
      <c r="G92" s="1">
        <v>3072</v>
      </c>
      <c r="H92" s="3">
        <f>VLOOKUP("bus"&amp;"-"&amp;G92,[2]flota_lineas_tp!$A$1:$D$2000,4,FALSE)</f>
        <v>7.32</v>
      </c>
      <c r="J92" s="1">
        <v>3072</v>
      </c>
      <c r="K92" s="1">
        <f>VLOOKUP("bus"&amp;"-"&amp;J92,[3]flota_lineas_tp!$A$1:$D$2000,4,FALSE)</f>
        <v>9.9</v>
      </c>
      <c r="M92" s="1">
        <v>3072</v>
      </c>
    </row>
    <row r="93" spans="1:13" x14ac:dyDescent="0.2">
      <c r="A93" s="1">
        <v>3081</v>
      </c>
      <c r="B93" s="3">
        <f>VLOOKUP("h1-bus"&amp;"-"&amp;A93,[1]flota_lineas_tp!$A$1:$F$65536,6,FALSE)</f>
        <v>3.25</v>
      </c>
      <c r="D93" s="1">
        <v>3081</v>
      </c>
      <c r="E93" s="3">
        <f>VLOOKUP("h2-bus"&amp;"-"&amp;D93,[1]flota_lineas_tp!$A$1:$F$65536,6,FALSE)</f>
        <v>4.0199999999999996</v>
      </c>
      <c r="G93" s="1">
        <v>3081</v>
      </c>
      <c r="H93" s="3">
        <f>VLOOKUP("bus"&amp;"-"&amp;G93,[2]flota_lineas_tp!$A$1:$D$2000,4,FALSE)</f>
        <v>3.28</v>
      </c>
      <c r="J93" s="1">
        <v>3081</v>
      </c>
      <c r="K93" s="1">
        <f>VLOOKUP("bus"&amp;"-"&amp;J93,[3]flota_lineas_tp!$A$1:$D$2000,4,FALSE)</f>
        <v>4.43</v>
      </c>
      <c r="M93" s="1">
        <v>3081</v>
      </c>
    </row>
    <row r="94" spans="1:13" x14ac:dyDescent="0.2">
      <c r="A94" s="1">
        <v>3082</v>
      </c>
      <c r="B94" s="3">
        <f>VLOOKUP("h1-bus"&amp;"-"&amp;A94,[1]flota_lineas_tp!$A$1:$F$65536,6,FALSE)</f>
        <v>3.58</v>
      </c>
      <c r="D94" s="1">
        <v>3082</v>
      </c>
      <c r="E94" s="3">
        <f>VLOOKUP("h2-bus"&amp;"-"&amp;D94,[1]flota_lineas_tp!$A$1:$F$65536,6,FALSE)</f>
        <v>3.8</v>
      </c>
      <c r="G94" s="1">
        <v>3082</v>
      </c>
      <c r="H94" s="3">
        <f>VLOOKUP("bus"&amp;"-"&amp;G94,[2]flota_lineas_tp!$A$1:$D$2000,4,FALSE)</f>
        <v>3.33</v>
      </c>
      <c r="J94" s="1">
        <v>3082</v>
      </c>
      <c r="K94" s="1">
        <f>VLOOKUP("bus"&amp;"-"&amp;J94,[3]flota_lineas_tp!$A$1:$D$2000,4,FALSE)</f>
        <v>3.93</v>
      </c>
      <c r="M94" s="1">
        <v>3082</v>
      </c>
    </row>
    <row r="95" spans="1:13" x14ac:dyDescent="0.2">
      <c r="A95" s="1">
        <v>3091</v>
      </c>
      <c r="B95" s="3">
        <f>VLOOKUP("h1-bus"&amp;"-"&amp;A95,[1]flota_lineas_tp!$A$1:$F$65536,6,FALSE)</f>
        <v>5.63</v>
      </c>
      <c r="D95" s="1">
        <v>3091</v>
      </c>
      <c r="E95" s="3">
        <f>VLOOKUP("h2-bus"&amp;"-"&amp;D95,[1]flota_lineas_tp!$A$1:$F$65536,6,FALSE)</f>
        <v>14.09</v>
      </c>
      <c r="G95" s="1">
        <v>3091</v>
      </c>
      <c r="H95" s="3">
        <f>VLOOKUP("bus"&amp;"-"&amp;G95,[2]flota_lineas_tp!$A$1:$D$2000,4,FALSE)</f>
        <v>12.66</v>
      </c>
      <c r="J95" s="1">
        <v>3091</v>
      </c>
      <c r="K95" s="1">
        <f>VLOOKUP("bus"&amp;"-"&amp;J95,[3]flota_lineas_tp!$A$1:$D$2000,4,FALSE)</f>
        <v>14.37</v>
      </c>
      <c r="M95" s="1">
        <v>3091</v>
      </c>
    </row>
    <row r="96" spans="1:13" x14ac:dyDescent="0.2">
      <c r="A96" s="1">
        <v>3092</v>
      </c>
      <c r="B96" s="3">
        <f>VLOOKUP("h1-bus"&amp;"-"&amp;A96,[1]flota_lineas_tp!$A$1:$F$65536,6,FALSE)</f>
        <v>3.97</v>
      </c>
      <c r="D96" s="1">
        <v>3092</v>
      </c>
      <c r="E96" s="3">
        <f>VLOOKUP("h2-bus"&amp;"-"&amp;D96,[1]flota_lineas_tp!$A$1:$F$65536,6,FALSE)</f>
        <v>6.54</v>
      </c>
      <c r="G96" s="1">
        <v>3092</v>
      </c>
      <c r="H96" s="3">
        <f>VLOOKUP("bus"&amp;"-"&amp;G96,[2]flota_lineas_tp!$A$1:$D$2000,4,FALSE)</f>
        <v>4.82</v>
      </c>
      <c r="J96" s="1">
        <v>3092</v>
      </c>
      <c r="K96" s="1">
        <f>VLOOKUP("bus"&amp;"-"&amp;J96,[3]flota_lineas_tp!$A$1:$D$2000,4,FALSE)</f>
        <v>1.4</v>
      </c>
      <c r="M96" s="1">
        <v>3092</v>
      </c>
    </row>
    <row r="97" spans="1:13" x14ac:dyDescent="0.2">
      <c r="A97" s="1">
        <v>4011</v>
      </c>
      <c r="B97" s="3">
        <f>VLOOKUP("h1-bus"&amp;"-"&amp;A97,[1]flota_lineas_tp!$A$1:$F$65536,6,FALSE)</f>
        <v>3.61</v>
      </c>
      <c r="D97" s="1">
        <v>4011</v>
      </c>
      <c r="E97" s="3">
        <f>VLOOKUP("h2-bus"&amp;"-"&amp;D97,[1]flota_lineas_tp!$A$1:$F$65536,6,FALSE)</f>
        <v>4.0199999999999996</v>
      </c>
      <c r="G97" s="1">
        <v>4011</v>
      </c>
      <c r="H97" s="3">
        <f>VLOOKUP("bus"&amp;"-"&amp;G97,[2]flota_lineas_tp!$A$1:$D$2000,4,FALSE)</f>
        <v>4.72</v>
      </c>
      <c r="J97" s="1">
        <v>4011</v>
      </c>
      <c r="K97" s="1">
        <f>VLOOKUP("bus"&amp;"-"&amp;J97,[3]flota_lineas_tp!$A$1:$D$2000,4,FALSE)</f>
        <v>4.97</v>
      </c>
      <c r="M97" s="1">
        <v>4011</v>
      </c>
    </row>
    <row r="98" spans="1:13" x14ac:dyDescent="0.2">
      <c r="A98" s="1">
        <v>4012</v>
      </c>
      <c r="B98" s="3">
        <f>VLOOKUP("h1-bus"&amp;"-"&amp;A98,[1]flota_lineas_tp!$A$1:$F$65536,6,FALSE)</f>
        <v>3.03</v>
      </c>
      <c r="D98" s="1">
        <v>4012</v>
      </c>
      <c r="E98" s="3">
        <f>VLOOKUP("h2-bus"&amp;"-"&amp;D98,[1]flota_lineas_tp!$A$1:$F$65536,6,FALSE)</f>
        <v>4.47</v>
      </c>
      <c r="G98" s="1">
        <v>4012</v>
      </c>
      <c r="H98" s="3">
        <f>VLOOKUP("bus"&amp;"-"&amp;G98,[2]flota_lineas_tp!$A$1:$D$2000,4,FALSE)</f>
        <v>2.85</v>
      </c>
      <c r="J98" s="1">
        <v>4012</v>
      </c>
      <c r="K98" s="1">
        <f>VLOOKUP("bus"&amp;"-"&amp;J98,[3]flota_lineas_tp!$A$1:$D$2000,4,FALSE)</f>
        <v>3.45</v>
      </c>
      <c r="M98" s="1">
        <v>4012</v>
      </c>
    </row>
    <row r="99" spans="1:13" x14ac:dyDescent="0.2">
      <c r="A99" s="1">
        <v>4021</v>
      </c>
      <c r="B99" s="3">
        <f>VLOOKUP("h1-bus"&amp;"-"&amp;A99,[1]flota_lineas_tp!$A$1:$F$65536,6,FALSE)</f>
        <v>4.29</v>
      </c>
      <c r="D99" s="1">
        <v>4021</v>
      </c>
      <c r="E99" s="3">
        <f>VLOOKUP("h2-bus"&amp;"-"&amp;D99,[1]flota_lineas_tp!$A$1:$F$65536,6,FALSE)</f>
        <v>6.18</v>
      </c>
      <c r="G99" s="1">
        <v>4021</v>
      </c>
      <c r="H99" s="3">
        <f>VLOOKUP("bus"&amp;"-"&amp;G99,[2]flota_lineas_tp!$A$1:$D$2000,4,FALSE)</f>
        <v>2.85</v>
      </c>
      <c r="J99" s="1">
        <v>4021</v>
      </c>
      <c r="K99" s="1">
        <f>VLOOKUP("bus"&amp;"-"&amp;J99,[3]flota_lineas_tp!$A$1:$D$2000,4,FALSE)</f>
        <v>2.46</v>
      </c>
      <c r="M99" s="1">
        <v>4021</v>
      </c>
    </row>
    <row r="100" spans="1:13" x14ac:dyDescent="0.2">
      <c r="A100" s="1">
        <v>4022</v>
      </c>
      <c r="B100" s="3">
        <f>VLOOKUP("h1-bus"&amp;"-"&amp;A100,[1]flota_lineas_tp!$A$1:$F$65536,6,FALSE)</f>
        <v>4.51</v>
      </c>
      <c r="D100" s="1">
        <v>4022</v>
      </c>
      <c r="E100" s="3">
        <f>VLOOKUP("h2-bus"&amp;"-"&amp;D100,[1]flota_lineas_tp!$A$1:$F$65536,6,FALSE)</f>
        <v>3.72</v>
      </c>
      <c r="G100" s="1">
        <v>4022</v>
      </c>
      <c r="H100" s="3">
        <f>VLOOKUP("bus"&amp;"-"&amp;G100,[2]flota_lineas_tp!$A$1:$D$2000,4,FALSE)</f>
        <v>1.61</v>
      </c>
      <c r="J100" s="1">
        <v>4022</v>
      </c>
      <c r="K100" s="1">
        <f>VLOOKUP("bus"&amp;"-"&amp;J100,[3]flota_lineas_tp!$A$1:$D$2000,4,FALSE)</f>
        <v>4.7300000000000004</v>
      </c>
      <c r="M100" s="1">
        <v>4022</v>
      </c>
    </row>
    <row r="101" spans="1:13" x14ac:dyDescent="0.2">
      <c r="A101" s="1">
        <v>4031</v>
      </c>
      <c r="B101" s="3">
        <f>VLOOKUP("h1-bus"&amp;"-"&amp;A101,[1]flota_lineas_tp!$A$1:$F$65536,6,FALSE)</f>
        <v>4.1900000000000004</v>
      </c>
      <c r="D101" s="1">
        <v>4031</v>
      </c>
      <c r="E101" s="3">
        <f>VLOOKUP("h2-bus"&amp;"-"&amp;D101,[1]flota_lineas_tp!$A$1:$F$65536,6,FALSE)</f>
        <v>5.17</v>
      </c>
      <c r="G101" s="1">
        <v>4031</v>
      </c>
      <c r="H101" s="3">
        <f>VLOOKUP("bus"&amp;"-"&amp;G101,[2]flota_lineas_tp!$A$1:$D$2000,4,FALSE)</f>
        <v>3.04</v>
      </c>
      <c r="J101" s="1">
        <v>4031</v>
      </c>
      <c r="K101" s="1">
        <f>VLOOKUP("bus"&amp;"-"&amp;J101,[3]flota_lineas_tp!$A$1:$D$2000,4,FALSE)</f>
        <v>2.74</v>
      </c>
      <c r="M101" s="1">
        <v>4031</v>
      </c>
    </row>
    <row r="102" spans="1:13" x14ac:dyDescent="0.2">
      <c r="A102" s="1">
        <v>4032</v>
      </c>
      <c r="B102" s="3">
        <f>VLOOKUP("h1-bus"&amp;"-"&amp;A102,[1]flota_lineas_tp!$A$1:$F$65536,6,FALSE)</f>
        <v>6.94</v>
      </c>
      <c r="D102" s="1">
        <v>4032</v>
      </c>
      <c r="E102" s="3">
        <f>VLOOKUP("h2-bus"&amp;"-"&amp;D102,[1]flota_lineas_tp!$A$1:$F$65536,6,FALSE)</f>
        <v>5.79</v>
      </c>
      <c r="G102" s="1">
        <v>4032</v>
      </c>
      <c r="H102" s="3">
        <f>VLOOKUP("bus"&amp;"-"&amp;G102,[2]flota_lineas_tp!$A$1:$D$2000,4,FALSE)</f>
        <v>3.18</v>
      </c>
      <c r="J102" s="1">
        <v>4032</v>
      </c>
      <c r="K102" s="1">
        <f>VLOOKUP("bus"&amp;"-"&amp;J102,[3]flota_lineas_tp!$A$1:$D$2000,4,FALSE)</f>
        <v>3.78</v>
      </c>
      <c r="M102" s="1">
        <v>4032</v>
      </c>
    </row>
    <row r="103" spans="1:13" x14ac:dyDescent="0.2">
      <c r="A103" s="1">
        <v>4041</v>
      </c>
      <c r="B103" s="3">
        <f>VLOOKUP("h1-bus"&amp;"-"&amp;A103,[1]flota_lineas_tp!$A$1:$F$65536,6,FALSE)</f>
        <v>5.98</v>
      </c>
      <c r="D103" s="1">
        <v>4041</v>
      </c>
      <c r="E103" s="3">
        <f>VLOOKUP("h2-bus"&amp;"-"&amp;D103,[1]flota_lineas_tp!$A$1:$F$65536,6,FALSE)</f>
        <v>8.51</v>
      </c>
      <c r="G103" s="1">
        <v>4041</v>
      </c>
      <c r="H103" s="3">
        <f>VLOOKUP("bus"&amp;"-"&amp;G103,[2]flota_lineas_tp!$A$1:$D$2000,4,FALSE)</f>
        <v>3.95</v>
      </c>
      <c r="J103" s="1">
        <v>4041</v>
      </c>
      <c r="K103" s="1">
        <f>VLOOKUP("bus"&amp;"-"&amp;J103,[3]flota_lineas_tp!$A$1:$D$2000,4,FALSE)</f>
        <v>3.57</v>
      </c>
      <c r="M103" s="1">
        <v>4041</v>
      </c>
    </row>
    <row r="104" spans="1:13" x14ac:dyDescent="0.2">
      <c r="A104" s="1">
        <v>4042</v>
      </c>
      <c r="B104" s="3">
        <f>VLOOKUP("h1-bus"&amp;"-"&amp;A104,[1]flota_lineas_tp!$A$1:$F$65536,6,FALSE)</f>
        <v>2.8</v>
      </c>
      <c r="D104" s="1">
        <v>4042</v>
      </c>
      <c r="E104" s="3">
        <f>VLOOKUP("h2-bus"&amp;"-"&amp;D104,[1]flota_lineas_tp!$A$1:$F$65536,6,FALSE)</f>
        <v>4.6399999999999997</v>
      </c>
      <c r="G104" s="1">
        <v>4042</v>
      </c>
      <c r="H104" s="3">
        <f>VLOOKUP("bus"&amp;"-"&amp;G104,[2]flota_lineas_tp!$A$1:$D$2000,4,FALSE)</f>
        <v>4.09</v>
      </c>
      <c r="J104" s="1">
        <v>4042</v>
      </c>
      <c r="K104" s="1">
        <f>VLOOKUP("bus"&amp;"-"&amp;J104,[3]flota_lineas_tp!$A$1:$D$2000,4,FALSE)</f>
        <v>5.72</v>
      </c>
      <c r="M104" s="1">
        <v>4042</v>
      </c>
    </row>
    <row r="105" spans="1:13" x14ac:dyDescent="0.2">
      <c r="A105" s="1">
        <v>4051</v>
      </c>
      <c r="B105" s="3">
        <f>VLOOKUP("h1-bus"&amp;"-"&amp;A105,[1]flota_lineas_tp!$A$1:$F$65536,6,FALSE)</f>
        <v>3.74</v>
      </c>
      <c r="D105" s="1">
        <v>4051</v>
      </c>
      <c r="E105" s="3">
        <f>VLOOKUP("h2-bus"&amp;"-"&amp;D105,[1]flota_lineas_tp!$A$1:$F$65536,6,FALSE)</f>
        <v>8.89</v>
      </c>
      <c r="G105" s="1">
        <v>4051</v>
      </c>
      <c r="H105" s="3">
        <f>VLOOKUP("bus"&amp;"-"&amp;G105,[2]flota_lineas_tp!$A$1:$D$2000,4,FALSE)</f>
        <v>1.7</v>
      </c>
      <c r="J105" s="1">
        <v>4051</v>
      </c>
      <c r="K105" s="1">
        <f>VLOOKUP("bus"&amp;"-"&amp;J105,[3]flota_lineas_tp!$A$1:$D$2000,4,FALSE)</f>
        <v>2.63</v>
      </c>
      <c r="M105" s="1">
        <v>4051</v>
      </c>
    </row>
    <row r="106" spans="1:13" x14ac:dyDescent="0.2">
      <c r="A106" s="1">
        <v>4052</v>
      </c>
      <c r="B106" s="3">
        <f>VLOOKUP("h1-bus"&amp;"-"&amp;A106,[1]flota_lineas_tp!$A$1:$F$65536,6,FALSE)</f>
        <v>3.57</v>
      </c>
      <c r="D106" s="1">
        <v>4052</v>
      </c>
      <c r="E106" s="3">
        <f>VLOOKUP("h2-bus"&amp;"-"&amp;D106,[1]flota_lineas_tp!$A$1:$F$65536,6,FALSE)</f>
        <v>5.03</v>
      </c>
      <c r="G106" s="1">
        <v>4052</v>
      </c>
      <c r="H106" s="3">
        <f>VLOOKUP("bus"&amp;"-"&amp;G106,[2]flota_lineas_tp!$A$1:$D$2000,4,FALSE)</f>
        <v>4.37</v>
      </c>
      <c r="J106" s="1">
        <v>4052</v>
      </c>
      <c r="K106" s="1">
        <f>VLOOKUP("bus"&amp;"-"&amp;J106,[3]flota_lineas_tp!$A$1:$D$2000,4,FALSE)</f>
        <v>6.99</v>
      </c>
      <c r="M106" s="1">
        <v>4052</v>
      </c>
    </row>
    <row r="107" spans="1:13" x14ac:dyDescent="0.2">
      <c r="A107" s="1">
        <v>4061</v>
      </c>
      <c r="B107" s="3">
        <f>VLOOKUP("h1-bus"&amp;"-"&amp;A107,[1]flota_lineas_tp!$A$1:$F$65536,6,FALSE)</f>
        <v>7.89</v>
      </c>
      <c r="D107" s="1">
        <v>4061</v>
      </c>
      <c r="E107" s="3">
        <f>VLOOKUP("h2-bus"&amp;"-"&amp;D107,[1]flota_lineas_tp!$A$1:$F$65536,6,FALSE)</f>
        <v>10.6</v>
      </c>
      <c r="G107" s="1">
        <v>4061</v>
      </c>
      <c r="H107" s="3">
        <f>VLOOKUP("bus"&amp;"-"&amp;G107,[2]flota_lineas_tp!$A$1:$D$2000,4,FALSE)</f>
        <v>7.15</v>
      </c>
      <c r="J107" s="1">
        <v>4061</v>
      </c>
      <c r="K107" s="1">
        <f>VLOOKUP("bus"&amp;"-"&amp;J107,[3]flota_lineas_tp!$A$1:$D$2000,4,FALSE)</f>
        <v>8.4499999999999993</v>
      </c>
      <c r="M107" s="1">
        <v>4061</v>
      </c>
    </row>
    <row r="108" spans="1:13" x14ac:dyDescent="0.2">
      <c r="A108" s="1">
        <v>4062</v>
      </c>
      <c r="B108" s="3">
        <f>VLOOKUP("h1-bus"&amp;"-"&amp;A108,[1]flota_lineas_tp!$A$1:$F$65536,6,FALSE)</f>
        <v>9.6199999999999992</v>
      </c>
      <c r="D108" s="1">
        <v>4062</v>
      </c>
      <c r="E108" s="3">
        <f>VLOOKUP("h2-bus"&amp;"-"&amp;D108,[1]flota_lineas_tp!$A$1:$F$65536,6,FALSE)</f>
        <v>11.98</v>
      </c>
      <c r="G108" s="1">
        <v>4062</v>
      </c>
      <c r="H108" s="3">
        <f>VLOOKUP("bus"&amp;"-"&amp;G108,[2]flota_lineas_tp!$A$1:$D$2000,4,FALSE)</f>
        <v>8.5</v>
      </c>
      <c r="J108" s="1">
        <v>4062</v>
      </c>
      <c r="K108" s="1">
        <f>VLOOKUP("bus"&amp;"-"&amp;J108,[3]flota_lineas_tp!$A$1:$D$2000,4,FALSE)</f>
        <v>6.01</v>
      </c>
      <c r="M108" s="1">
        <v>4062</v>
      </c>
    </row>
    <row r="109" spans="1:13" x14ac:dyDescent="0.2">
      <c r="A109" s="1">
        <v>4071</v>
      </c>
      <c r="B109" s="3">
        <f>VLOOKUP("h1-bus"&amp;"-"&amp;A109,[1]flota_lineas_tp!$A$1:$F$65536,6,FALSE)</f>
        <v>1.93</v>
      </c>
      <c r="D109" s="1">
        <v>4071</v>
      </c>
      <c r="E109" s="3">
        <f>VLOOKUP("h2-bus"&amp;"-"&amp;D109,[1]flota_lineas_tp!$A$1:$F$65536,6,FALSE)</f>
        <v>1.73</v>
      </c>
      <c r="G109" s="1">
        <v>4071</v>
      </c>
      <c r="H109" s="3">
        <f>VLOOKUP("bus"&amp;"-"&amp;G109,[2]flota_lineas_tp!$A$1:$D$2000,4,FALSE)</f>
        <v>1.41</v>
      </c>
      <c r="J109" s="1">
        <v>4071</v>
      </c>
      <c r="K109" s="1">
        <f>VLOOKUP("bus"&amp;"-"&amp;J109,[3]flota_lineas_tp!$A$1:$D$2000,4,FALSE)</f>
        <v>2.2599999999999998</v>
      </c>
      <c r="M109" s="1">
        <v>4071</v>
      </c>
    </row>
    <row r="110" spans="1:13" x14ac:dyDescent="0.2">
      <c r="A110" s="1">
        <v>4072</v>
      </c>
      <c r="B110" s="3">
        <f>VLOOKUP("h1-bus"&amp;"-"&amp;A110,[1]flota_lineas_tp!$A$1:$F$65536,6,FALSE)</f>
        <v>0.61</v>
      </c>
      <c r="D110" s="1">
        <v>4072</v>
      </c>
      <c r="E110" s="3">
        <f>VLOOKUP("h2-bus"&amp;"-"&amp;D110,[1]flota_lineas_tp!$A$1:$F$65536,6,FALSE)</f>
        <v>6.12</v>
      </c>
      <c r="G110" s="1">
        <v>4072</v>
      </c>
      <c r="H110" s="3">
        <f>VLOOKUP("bus"&amp;"-"&amp;G110,[2]flota_lineas_tp!$A$1:$D$2000,4,FALSE)</f>
        <v>1.33</v>
      </c>
      <c r="J110" s="1">
        <v>4072</v>
      </c>
      <c r="K110" s="1">
        <f>VLOOKUP("bus"&amp;"-"&amp;J110,[3]flota_lineas_tp!$A$1:$D$2000,4,FALSE)</f>
        <v>1.43</v>
      </c>
      <c r="M110" s="1">
        <v>4072</v>
      </c>
    </row>
    <row r="111" spans="1:13" x14ac:dyDescent="0.2">
      <c r="A111" s="1">
        <v>4091</v>
      </c>
      <c r="B111" s="3">
        <f>VLOOKUP("h1-bus"&amp;"-"&amp;A111,[1]flota_lineas_tp!$A$1:$F$65536,6,FALSE)</f>
        <v>3.54</v>
      </c>
      <c r="D111" s="1">
        <v>4091</v>
      </c>
      <c r="E111" s="3">
        <f>VLOOKUP("h2-bus"&amp;"-"&amp;D111,[1]flota_lineas_tp!$A$1:$F$65536,6,FALSE)</f>
        <v>3.2</v>
      </c>
      <c r="G111" s="1">
        <v>4091</v>
      </c>
      <c r="H111" s="3">
        <f>VLOOKUP("bus"&amp;"-"&amp;G111,[2]flota_lineas_tp!$A$1:$D$2000,4,FALSE)</f>
        <v>0.94</v>
      </c>
      <c r="J111" s="1">
        <v>4091</v>
      </c>
      <c r="K111" s="1">
        <f>VLOOKUP("bus"&amp;"-"&amp;J111,[3]flota_lineas_tp!$A$1:$D$2000,4,FALSE)</f>
        <v>1.41</v>
      </c>
      <c r="M111" s="1">
        <v>4091</v>
      </c>
    </row>
    <row r="112" spans="1:13" x14ac:dyDescent="0.2">
      <c r="A112" s="1">
        <v>4092</v>
      </c>
      <c r="B112" s="3">
        <f>VLOOKUP("h1-bus"&amp;"-"&amp;A112,[1]flota_lineas_tp!$A$1:$F$65536,6,FALSE)</f>
        <v>3.43</v>
      </c>
      <c r="D112" s="1">
        <v>4092</v>
      </c>
      <c r="E112" s="3">
        <f>VLOOKUP("h2-bus"&amp;"-"&amp;D112,[1]flota_lineas_tp!$A$1:$F$65536,6,FALSE)</f>
        <v>9.31</v>
      </c>
      <c r="G112" s="1">
        <v>4092</v>
      </c>
      <c r="H112" s="3">
        <f>VLOOKUP("bus"&amp;"-"&amp;G112,[2]flota_lineas_tp!$A$1:$D$2000,4,FALSE)</f>
        <v>0.61</v>
      </c>
      <c r="J112" s="1">
        <v>4092</v>
      </c>
      <c r="K112" s="1">
        <f>VLOOKUP("bus"&amp;"-"&amp;J112,[3]flota_lineas_tp!$A$1:$D$2000,4,FALSE)</f>
        <v>1.1599999999999999</v>
      </c>
      <c r="M112" s="1">
        <v>4092</v>
      </c>
    </row>
    <row r="113" spans="1:13" x14ac:dyDescent="0.2">
      <c r="A113" s="1">
        <v>4101</v>
      </c>
      <c r="B113" s="3">
        <f>VLOOKUP("h1-bus"&amp;"-"&amp;A113,[1]flota_lineas_tp!$A$1:$F$65536,6,FALSE)</f>
        <v>9.8000000000000007</v>
      </c>
      <c r="D113" s="1">
        <v>4101</v>
      </c>
      <c r="E113" s="3">
        <f>VLOOKUP("h2-bus"&amp;"-"&amp;D113,[1]flota_lineas_tp!$A$1:$F$65536,6,FALSE)</f>
        <v>10.43</v>
      </c>
      <c r="G113" s="1">
        <v>4101</v>
      </c>
      <c r="H113" s="3">
        <f>VLOOKUP("bus"&amp;"-"&amp;G113,[2]flota_lineas_tp!$A$1:$D$2000,4,FALSE)</f>
        <v>8.7200000000000006</v>
      </c>
      <c r="J113" s="1">
        <v>4101</v>
      </c>
      <c r="K113" s="1">
        <f>VLOOKUP("bus"&amp;"-"&amp;J113,[3]flota_lineas_tp!$A$1:$D$2000,4,FALSE)</f>
        <v>12.14</v>
      </c>
      <c r="M113" s="1">
        <v>4101</v>
      </c>
    </row>
    <row r="114" spans="1:13" x14ac:dyDescent="0.2">
      <c r="A114" s="1">
        <v>4102</v>
      </c>
      <c r="B114" s="3">
        <f>VLOOKUP("h1-bus"&amp;"-"&amp;A114,[1]flota_lineas_tp!$A$1:$F$65536,6,FALSE)</f>
        <v>6.35</v>
      </c>
      <c r="D114" s="1">
        <v>4102</v>
      </c>
      <c r="E114" s="3">
        <f>VLOOKUP("h2-bus"&amp;"-"&amp;D114,[1]flota_lineas_tp!$A$1:$F$65536,6,FALSE)</f>
        <v>11.05</v>
      </c>
      <c r="G114" s="1">
        <v>4102</v>
      </c>
      <c r="H114" s="3">
        <f>VLOOKUP("bus"&amp;"-"&amp;G114,[2]flota_lineas_tp!$A$1:$D$2000,4,FALSE)</f>
        <v>7.36</v>
      </c>
      <c r="J114" s="1">
        <v>4102</v>
      </c>
      <c r="K114" s="1">
        <f>VLOOKUP("bus"&amp;"-"&amp;J114,[3]flota_lineas_tp!$A$1:$D$2000,4,FALSE)</f>
        <v>6.72</v>
      </c>
      <c r="M114" s="1">
        <v>4102</v>
      </c>
    </row>
    <row r="115" spans="1:13" x14ac:dyDescent="0.2">
      <c r="A115" s="1">
        <v>4111</v>
      </c>
      <c r="B115" s="3">
        <f>VLOOKUP("h1-bus"&amp;"-"&amp;A115,[1]flota_lineas_tp!$A$1:$F$65536,6,FALSE)</f>
        <v>5.33</v>
      </c>
      <c r="D115" s="1">
        <v>4111</v>
      </c>
      <c r="E115" s="3">
        <f>VLOOKUP("h2-bus"&amp;"-"&amp;D115,[1]flota_lineas_tp!$A$1:$F$65536,6,FALSE)</f>
        <v>6.09</v>
      </c>
      <c r="G115" s="1">
        <v>4111</v>
      </c>
      <c r="H115" s="3">
        <f>VLOOKUP("bus"&amp;"-"&amp;G115,[2]flota_lineas_tp!$A$1:$D$2000,4,FALSE)</f>
        <v>4.1900000000000004</v>
      </c>
      <c r="J115" s="1">
        <v>4111</v>
      </c>
      <c r="K115" s="1">
        <f>VLOOKUP("bus"&amp;"-"&amp;J115,[3]flota_lineas_tp!$A$1:$D$2000,4,FALSE)</f>
        <v>1.92</v>
      </c>
      <c r="M115" s="1">
        <v>4111</v>
      </c>
    </row>
    <row r="116" spans="1:13" x14ac:dyDescent="0.2">
      <c r="A116" s="1">
        <v>4112</v>
      </c>
      <c r="B116" s="3">
        <f>VLOOKUP("h1-bus"&amp;"-"&amp;A116,[1]flota_lineas_tp!$A$1:$F$65536,6,FALSE)</f>
        <v>4.25</v>
      </c>
      <c r="D116" s="1">
        <v>4112</v>
      </c>
      <c r="E116" s="3">
        <f>VLOOKUP("h2-bus"&amp;"-"&amp;D116,[1]flota_lineas_tp!$A$1:$F$65536,6,FALSE)</f>
        <v>12.96</v>
      </c>
      <c r="G116" s="1">
        <v>4112</v>
      </c>
      <c r="H116" s="3">
        <f>VLOOKUP("bus"&amp;"-"&amp;G116,[2]flota_lineas_tp!$A$1:$D$2000,4,FALSE)</f>
        <v>3.7</v>
      </c>
      <c r="J116" s="1">
        <v>4112</v>
      </c>
      <c r="K116" s="1">
        <f>VLOOKUP("bus"&amp;"-"&amp;J116,[3]flota_lineas_tp!$A$1:$D$2000,4,FALSE)</f>
        <v>2.97</v>
      </c>
      <c r="M116" s="1">
        <v>4112</v>
      </c>
    </row>
    <row r="117" spans="1:13" x14ac:dyDescent="0.2">
      <c r="A117" s="1">
        <v>4121</v>
      </c>
      <c r="B117" s="3">
        <f>VLOOKUP("h1-bus"&amp;"-"&amp;A117,[1]flota_lineas_tp!$A$1:$F$65536,6,FALSE)</f>
        <v>5.88</v>
      </c>
      <c r="D117" s="1">
        <v>4121</v>
      </c>
      <c r="E117" s="3">
        <f>VLOOKUP("h2-bus"&amp;"-"&amp;D117,[1]flota_lineas_tp!$A$1:$F$65536,6,FALSE)</f>
        <v>9.06</v>
      </c>
      <c r="G117" s="1">
        <v>4121</v>
      </c>
      <c r="H117" s="3">
        <f>VLOOKUP("bus"&amp;"-"&amp;G117,[2]flota_lineas_tp!$A$1:$D$2000,4,FALSE)</f>
        <v>5.93</v>
      </c>
      <c r="J117" s="1">
        <v>4121</v>
      </c>
      <c r="K117" s="1">
        <f>VLOOKUP("bus"&amp;"-"&amp;J117,[3]flota_lineas_tp!$A$1:$D$2000,4,FALSE)</f>
        <v>11.8</v>
      </c>
      <c r="M117" s="1">
        <v>4121</v>
      </c>
    </row>
    <row r="118" spans="1:13" x14ac:dyDescent="0.2">
      <c r="A118" s="1">
        <v>4122</v>
      </c>
      <c r="B118" s="3">
        <f>VLOOKUP("h1-bus"&amp;"-"&amp;A118,[1]flota_lineas_tp!$A$1:$F$65536,6,FALSE)</f>
        <v>5.97</v>
      </c>
      <c r="D118" s="1">
        <v>4122</v>
      </c>
      <c r="E118" s="3">
        <f>VLOOKUP("h2-bus"&amp;"-"&amp;D118,[1]flota_lineas_tp!$A$1:$F$65536,6,FALSE)</f>
        <v>13.77</v>
      </c>
      <c r="G118" s="1">
        <v>4122</v>
      </c>
      <c r="H118" s="3">
        <f>VLOOKUP("bus"&amp;"-"&amp;G118,[2]flota_lineas_tp!$A$1:$D$2000,4,FALSE)</f>
        <v>7.44</v>
      </c>
      <c r="J118" s="1">
        <v>4122</v>
      </c>
      <c r="K118" s="1">
        <f>VLOOKUP("bus"&amp;"-"&amp;J118,[3]flota_lineas_tp!$A$1:$D$2000,4,FALSE)</f>
        <v>3.23</v>
      </c>
      <c r="M118" s="1">
        <v>4122</v>
      </c>
    </row>
    <row r="119" spans="1:13" x14ac:dyDescent="0.2">
      <c r="A119" s="1">
        <v>5011</v>
      </c>
      <c r="B119" s="3">
        <f>VLOOKUP("h1-bus"&amp;"-"&amp;A119,[1]flota_lineas_tp!$A$1:$F$65536,6,FALSE)</f>
        <v>8.08</v>
      </c>
      <c r="D119" s="1">
        <v>5011</v>
      </c>
      <c r="E119" s="3">
        <f>VLOOKUP("h2-bus"&amp;"-"&amp;D119,[1]flota_lineas_tp!$A$1:$F$65536,6,FALSE)</f>
        <v>12.27</v>
      </c>
      <c r="G119" s="1">
        <v>5011</v>
      </c>
      <c r="H119" s="3">
        <f>VLOOKUP("bus"&amp;"-"&amp;G119,[2]flota_lineas_tp!$A$1:$D$2000,4,FALSE)</f>
        <v>9.7100000000000009</v>
      </c>
      <c r="J119" s="1">
        <v>5011</v>
      </c>
      <c r="K119" s="1">
        <f>VLOOKUP("bus"&amp;"-"&amp;J119,[3]flota_lineas_tp!$A$1:$D$2000,4,FALSE)</f>
        <v>9.25</v>
      </c>
      <c r="M119" s="1">
        <v>5011</v>
      </c>
    </row>
    <row r="120" spans="1:13" x14ac:dyDescent="0.2">
      <c r="A120" s="1">
        <v>5012</v>
      </c>
      <c r="B120" s="3">
        <f>VLOOKUP("h1-bus"&amp;"-"&amp;A120,[1]flota_lineas_tp!$A$1:$F$65536,6,FALSE)</f>
        <v>3.26</v>
      </c>
      <c r="D120" s="1">
        <v>5012</v>
      </c>
      <c r="E120" s="3">
        <f>VLOOKUP("h2-bus"&amp;"-"&amp;D120,[1]flota_lineas_tp!$A$1:$F$65536,6,FALSE)</f>
        <v>8.92</v>
      </c>
      <c r="G120" s="1">
        <v>5012</v>
      </c>
      <c r="H120" s="3">
        <f>VLOOKUP("bus"&amp;"-"&amp;G120,[2]flota_lineas_tp!$A$1:$D$2000,4,FALSE)</f>
        <v>8.26</v>
      </c>
      <c r="J120" s="1">
        <v>5012</v>
      </c>
      <c r="K120" s="1">
        <f>VLOOKUP("bus"&amp;"-"&amp;J120,[3]flota_lineas_tp!$A$1:$D$2000,4,FALSE)</f>
        <v>8.5500000000000007</v>
      </c>
      <c r="M120" s="1">
        <v>5012</v>
      </c>
    </row>
    <row r="121" spans="1:13" x14ac:dyDescent="0.2">
      <c r="A121" s="1">
        <v>5031</v>
      </c>
      <c r="B121" s="3">
        <f>VLOOKUP("h1-bus"&amp;"-"&amp;A121,[1]flota_lineas_tp!$A$1:$F$65536,6,FALSE)</f>
        <v>1.77</v>
      </c>
      <c r="D121" s="1">
        <v>5031</v>
      </c>
      <c r="E121" s="3">
        <f>VLOOKUP("h2-bus"&amp;"-"&amp;D121,[1]flota_lineas_tp!$A$1:$F$65536,6,FALSE)</f>
        <v>2.46</v>
      </c>
      <c r="G121" s="1">
        <v>5031</v>
      </c>
      <c r="H121" s="3">
        <f>VLOOKUP("bus"&amp;"-"&amp;G121,[2]flota_lineas_tp!$A$1:$D$2000,4,FALSE)</f>
        <v>2.21</v>
      </c>
      <c r="J121" s="1">
        <v>5031</v>
      </c>
      <c r="K121" s="1">
        <f>VLOOKUP("bus"&amp;"-"&amp;J121,[3]flota_lineas_tp!$A$1:$D$2000,4,FALSE)</f>
        <v>2.63</v>
      </c>
      <c r="M121" s="1">
        <v>5031</v>
      </c>
    </row>
    <row r="122" spans="1:13" x14ac:dyDescent="0.2">
      <c r="A122" s="1">
        <v>5032</v>
      </c>
      <c r="B122" s="3">
        <f>VLOOKUP("h1-bus"&amp;"-"&amp;A122,[1]flota_lineas_tp!$A$1:$F$65536,6,FALSE)</f>
        <v>0.39</v>
      </c>
      <c r="D122" s="1">
        <v>5032</v>
      </c>
      <c r="E122" s="3">
        <f>VLOOKUP("h2-bus"&amp;"-"&amp;D122,[1]flota_lineas_tp!$A$1:$F$65536,6,FALSE)</f>
        <v>1.87</v>
      </c>
      <c r="G122" s="1">
        <v>5032</v>
      </c>
      <c r="H122" s="3">
        <f>VLOOKUP("bus"&amp;"-"&amp;G122,[2]flota_lineas_tp!$A$1:$D$2000,4,FALSE)</f>
        <v>1.08</v>
      </c>
      <c r="J122" s="1">
        <v>5032</v>
      </c>
      <c r="K122" s="1">
        <f>VLOOKUP("bus"&amp;"-"&amp;J122,[3]flota_lineas_tp!$A$1:$D$2000,4,FALSE)</f>
        <v>1.91</v>
      </c>
      <c r="M122" s="1">
        <v>5032</v>
      </c>
    </row>
    <row r="123" spans="1:13" x14ac:dyDescent="0.2">
      <c r="A123" s="1">
        <v>5041</v>
      </c>
      <c r="B123" s="3">
        <f>VLOOKUP("h1-bus"&amp;"-"&amp;A123,[1]flota_lineas_tp!$A$1:$F$65536,6,FALSE)</f>
        <v>4.66</v>
      </c>
      <c r="D123" s="1">
        <v>5041</v>
      </c>
      <c r="E123" s="3">
        <f>VLOOKUP("h2-bus"&amp;"-"&amp;D123,[1]flota_lineas_tp!$A$1:$F$65536,6,FALSE)</f>
        <v>9.34</v>
      </c>
      <c r="G123" s="1">
        <v>5041</v>
      </c>
      <c r="H123" s="3">
        <f>VLOOKUP("bus"&amp;"-"&amp;G123,[2]flota_lineas_tp!$A$1:$D$2000,4,FALSE)</f>
        <v>4.37</v>
      </c>
      <c r="J123" s="1">
        <v>5041</v>
      </c>
      <c r="K123" s="1">
        <f>VLOOKUP("bus"&amp;"-"&amp;J123,[3]flota_lineas_tp!$A$1:$D$2000,4,FALSE)</f>
        <v>4.16</v>
      </c>
      <c r="M123" s="1">
        <v>5041</v>
      </c>
    </row>
    <row r="124" spans="1:13" x14ac:dyDescent="0.2">
      <c r="A124" s="1">
        <v>5042</v>
      </c>
      <c r="B124" s="3">
        <f>VLOOKUP("h1-bus"&amp;"-"&amp;A124,[1]flota_lineas_tp!$A$1:$F$65536,6,FALSE)</f>
        <v>2.33</v>
      </c>
      <c r="D124" s="1">
        <v>5042</v>
      </c>
      <c r="E124" s="3">
        <f>VLOOKUP("h2-bus"&amp;"-"&amp;D124,[1]flota_lineas_tp!$A$1:$F$65536,6,FALSE)</f>
        <v>5.53</v>
      </c>
      <c r="G124" s="1">
        <v>5042</v>
      </c>
      <c r="H124" s="3">
        <f>VLOOKUP("bus"&amp;"-"&amp;G124,[2]flota_lineas_tp!$A$1:$D$2000,4,FALSE)</f>
        <v>4.0999999999999996</v>
      </c>
      <c r="J124" s="1">
        <v>5042</v>
      </c>
      <c r="K124" s="1">
        <f>VLOOKUP("bus"&amp;"-"&amp;J124,[3]flota_lineas_tp!$A$1:$D$2000,4,FALSE)</f>
        <v>3.89</v>
      </c>
      <c r="M124" s="1">
        <v>5042</v>
      </c>
    </row>
    <row r="125" spans="1:13" x14ac:dyDescent="0.2">
      <c r="A125" s="1">
        <v>5051</v>
      </c>
      <c r="B125" s="3">
        <f>VLOOKUP("h1-bus"&amp;"-"&amp;A125,[1]flota_lineas_tp!$A$1:$F$65536,6,FALSE)</f>
        <v>8.01</v>
      </c>
      <c r="D125" s="1">
        <v>5051</v>
      </c>
      <c r="E125" s="3">
        <f>VLOOKUP("h2-bus"&amp;"-"&amp;D125,[1]flota_lineas_tp!$A$1:$F$65536,6,FALSE)</f>
        <v>11.74</v>
      </c>
      <c r="G125" s="1">
        <v>5051</v>
      </c>
      <c r="H125" s="3">
        <f>VLOOKUP("bus"&amp;"-"&amp;G125,[2]flota_lineas_tp!$A$1:$D$2000,4,FALSE)</f>
        <v>7.13</v>
      </c>
      <c r="J125" s="1">
        <v>5051</v>
      </c>
      <c r="K125" s="1">
        <f>VLOOKUP("bus"&amp;"-"&amp;J125,[3]flota_lineas_tp!$A$1:$D$2000,4,FALSE)</f>
        <v>7.22</v>
      </c>
      <c r="M125" s="1">
        <v>5051</v>
      </c>
    </row>
    <row r="126" spans="1:13" x14ac:dyDescent="0.2">
      <c r="A126" s="1">
        <v>5052</v>
      </c>
      <c r="B126" s="3">
        <f>VLOOKUP("h1-bus"&amp;"-"&amp;A126,[1]flota_lineas_tp!$A$1:$F$65536,6,FALSE)</f>
        <v>3.42</v>
      </c>
      <c r="D126" s="1">
        <v>5052</v>
      </c>
      <c r="E126" s="3">
        <f>VLOOKUP("h2-bus"&amp;"-"&amp;D126,[1]flota_lineas_tp!$A$1:$F$65536,6,FALSE)</f>
        <v>9.6</v>
      </c>
      <c r="G126" s="1">
        <v>5052</v>
      </c>
      <c r="H126" s="3">
        <f>VLOOKUP("bus"&amp;"-"&amp;G126,[2]flota_lineas_tp!$A$1:$D$2000,4,FALSE)</f>
        <v>6.9</v>
      </c>
      <c r="J126" s="1">
        <v>5052</v>
      </c>
      <c r="K126" s="1">
        <f>VLOOKUP("bus"&amp;"-"&amp;J126,[3]flota_lineas_tp!$A$1:$D$2000,4,FALSE)</f>
        <v>8.64</v>
      </c>
      <c r="M126" s="1">
        <v>5052</v>
      </c>
    </row>
    <row r="127" spans="1:13" x14ac:dyDescent="0.2">
      <c r="A127" s="1">
        <v>5061</v>
      </c>
      <c r="B127" s="3">
        <f>VLOOKUP("h1-bus"&amp;"-"&amp;A127,[1]flota_lineas_tp!$A$1:$F$65536,6,FALSE)</f>
        <v>3.58</v>
      </c>
      <c r="D127" s="1">
        <v>5061</v>
      </c>
      <c r="E127" s="3">
        <f>VLOOKUP("h2-bus"&amp;"-"&amp;D127,[1]flota_lineas_tp!$A$1:$F$65536,6,FALSE)</f>
        <v>4.76</v>
      </c>
      <c r="G127" s="1">
        <v>5061</v>
      </c>
      <c r="H127" s="3">
        <f>VLOOKUP("bus"&amp;"-"&amp;G127,[2]flota_lineas_tp!$A$1:$D$2000,4,FALSE)</f>
        <v>4.88</v>
      </c>
      <c r="J127" s="1">
        <v>5061</v>
      </c>
      <c r="K127" s="1">
        <f>VLOOKUP("bus"&amp;"-"&amp;J127,[3]flota_lineas_tp!$A$1:$D$2000,4,FALSE)</f>
        <v>10.75</v>
      </c>
      <c r="M127" s="1">
        <v>5061</v>
      </c>
    </row>
    <row r="128" spans="1:13" x14ac:dyDescent="0.2">
      <c r="A128" s="1">
        <v>5062</v>
      </c>
      <c r="B128" s="3">
        <f>VLOOKUP("h1-bus"&amp;"-"&amp;A128,[1]flota_lineas_tp!$A$1:$F$65536,6,FALSE)</f>
        <v>3.96</v>
      </c>
      <c r="D128" s="1">
        <v>5062</v>
      </c>
      <c r="E128" s="3">
        <f>VLOOKUP("h2-bus"&amp;"-"&amp;D128,[1]flota_lineas_tp!$A$1:$F$65536,6,FALSE)</f>
        <v>14.05</v>
      </c>
      <c r="G128" s="1">
        <v>5062</v>
      </c>
      <c r="H128" s="3">
        <f>VLOOKUP("bus"&amp;"-"&amp;G128,[2]flota_lineas_tp!$A$1:$D$2000,4,FALSE)</f>
        <v>4.6500000000000004</v>
      </c>
      <c r="J128" s="1">
        <v>5062</v>
      </c>
      <c r="K128" s="1">
        <f>VLOOKUP("bus"&amp;"-"&amp;J128,[3]flota_lineas_tp!$A$1:$D$2000,4,FALSE)</f>
        <v>5.96</v>
      </c>
      <c r="M128" s="1">
        <v>5062</v>
      </c>
    </row>
    <row r="129" spans="1:13" x14ac:dyDescent="0.2">
      <c r="A129" s="1">
        <v>5071</v>
      </c>
      <c r="B129" s="3">
        <f>VLOOKUP("h1-bus"&amp;"-"&amp;A129,[1]flota_lineas_tp!$A$1:$F$65536,6,FALSE)</f>
        <v>5.27</v>
      </c>
      <c r="D129" s="1">
        <v>5071</v>
      </c>
      <c r="E129" s="3">
        <f>VLOOKUP("h2-bus"&amp;"-"&amp;D129,[1]flota_lineas_tp!$A$1:$F$65536,6,FALSE)</f>
        <v>10.23</v>
      </c>
      <c r="G129" s="1">
        <v>5071</v>
      </c>
      <c r="H129" s="3">
        <f>VLOOKUP("bus"&amp;"-"&amp;G129,[2]flota_lineas_tp!$A$1:$D$2000,4,FALSE)</f>
        <v>5.3</v>
      </c>
      <c r="J129" s="1">
        <v>5071</v>
      </c>
      <c r="K129" s="1">
        <f>VLOOKUP("bus"&amp;"-"&amp;J129,[3]flota_lineas_tp!$A$1:$D$2000,4,FALSE)</f>
        <v>3.73</v>
      </c>
      <c r="M129" s="1">
        <v>5071</v>
      </c>
    </row>
    <row r="130" spans="1:13" x14ac:dyDescent="0.2">
      <c r="A130" s="1">
        <v>5072</v>
      </c>
      <c r="B130" s="3">
        <f>VLOOKUP("h1-bus"&amp;"-"&amp;A130,[1]flota_lineas_tp!$A$1:$F$65536,6,FALSE)</f>
        <v>1.88</v>
      </c>
      <c r="D130" s="1">
        <v>5072</v>
      </c>
      <c r="E130" s="3">
        <f>VLOOKUP("h2-bus"&amp;"-"&amp;D130,[1]flota_lineas_tp!$A$1:$F$65536,6,FALSE)</f>
        <v>4.75</v>
      </c>
      <c r="G130" s="1">
        <v>5072</v>
      </c>
      <c r="H130" s="3">
        <f>VLOOKUP("bus"&amp;"-"&amp;G130,[2]flota_lineas_tp!$A$1:$D$2000,4,FALSE)</f>
        <v>4.6500000000000004</v>
      </c>
      <c r="J130" s="1">
        <v>5072</v>
      </c>
      <c r="K130" s="1">
        <f>VLOOKUP("bus"&amp;"-"&amp;J130,[3]flota_lineas_tp!$A$1:$D$2000,4,FALSE)</f>
        <v>8.9700000000000006</v>
      </c>
      <c r="M130" s="1">
        <v>5072</v>
      </c>
    </row>
    <row r="131" spans="1:13" x14ac:dyDescent="0.2">
      <c r="A131" s="1">
        <v>5081</v>
      </c>
      <c r="B131" s="3">
        <f>VLOOKUP("h1-bus"&amp;"-"&amp;A131,[1]flota_lineas_tp!$A$1:$F$65536,6,FALSE)</f>
        <v>2.23</v>
      </c>
      <c r="D131" s="1">
        <v>5081</v>
      </c>
      <c r="E131" s="3">
        <f>VLOOKUP("h2-bus"&amp;"-"&amp;D131,[1]flota_lineas_tp!$A$1:$F$65536,6,FALSE)</f>
        <v>3.21</v>
      </c>
      <c r="G131" s="1">
        <v>5081</v>
      </c>
      <c r="H131" s="3">
        <f>VLOOKUP("bus"&amp;"-"&amp;G131,[2]flota_lineas_tp!$A$1:$D$2000,4,FALSE)</f>
        <v>1.5</v>
      </c>
      <c r="J131" s="1">
        <v>5081</v>
      </c>
      <c r="K131" s="1">
        <f>VLOOKUP("bus"&amp;"-"&amp;J131,[3]flota_lineas_tp!$A$1:$D$2000,4,FALSE)</f>
        <v>1.51</v>
      </c>
      <c r="M131" s="1">
        <v>5081</v>
      </c>
    </row>
    <row r="132" spans="1:13" x14ac:dyDescent="0.2">
      <c r="A132" s="1">
        <v>5082</v>
      </c>
      <c r="B132" s="3">
        <f>VLOOKUP("h1-bus"&amp;"-"&amp;A132,[1]flota_lineas_tp!$A$1:$F$65536,6,FALSE)</f>
        <v>1.17</v>
      </c>
      <c r="D132" s="1">
        <v>5082</v>
      </c>
      <c r="E132" s="3">
        <f>VLOOKUP("h2-bus"&amp;"-"&amp;D132,[1]flota_lineas_tp!$A$1:$F$65536,6,FALSE)</f>
        <v>2.52</v>
      </c>
      <c r="G132" s="1">
        <v>5082</v>
      </c>
      <c r="H132" s="3">
        <f>VLOOKUP("bus"&amp;"-"&amp;G132,[2]flota_lineas_tp!$A$1:$D$2000,4,FALSE)</f>
        <v>1.98</v>
      </c>
      <c r="J132" s="1">
        <v>5082</v>
      </c>
      <c r="K132" s="1">
        <f>VLOOKUP("bus"&amp;"-"&amp;J132,[3]flota_lineas_tp!$A$1:$D$2000,4,FALSE)</f>
        <v>2.33</v>
      </c>
      <c r="M132" s="1">
        <v>5082</v>
      </c>
    </row>
    <row r="133" spans="1:13" x14ac:dyDescent="0.2">
      <c r="A133" s="1">
        <v>5091</v>
      </c>
      <c r="B133" s="3">
        <f>VLOOKUP("h1-bus"&amp;"-"&amp;A133,[1]flota_lineas_tp!$A$1:$F$65536,6,FALSE)</f>
        <v>4.49</v>
      </c>
      <c r="D133" s="1">
        <v>5091</v>
      </c>
      <c r="E133" s="3">
        <f>VLOOKUP("h2-bus"&amp;"-"&amp;D133,[1]flota_lineas_tp!$A$1:$F$65536,6,FALSE)</f>
        <v>13.06</v>
      </c>
      <c r="G133" s="1">
        <v>5091</v>
      </c>
      <c r="H133" s="3">
        <f>VLOOKUP("bus"&amp;"-"&amp;G133,[2]flota_lineas_tp!$A$1:$D$2000,4,FALSE)</f>
        <v>5.09</v>
      </c>
      <c r="J133" s="1">
        <v>5091</v>
      </c>
      <c r="K133" s="1">
        <f>VLOOKUP("bus"&amp;"-"&amp;J133,[3]flota_lineas_tp!$A$1:$D$2000,4,FALSE)</f>
        <v>4.5199999999999996</v>
      </c>
      <c r="M133" s="1">
        <v>5091</v>
      </c>
    </row>
    <row r="134" spans="1:13" x14ac:dyDescent="0.2">
      <c r="A134" s="1">
        <v>5092</v>
      </c>
      <c r="B134" s="3">
        <f>VLOOKUP("h1-bus"&amp;"-"&amp;A134,[1]flota_lineas_tp!$A$1:$F$65536,6,FALSE)</f>
        <v>2.4900000000000002</v>
      </c>
      <c r="D134" s="1">
        <v>5092</v>
      </c>
      <c r="E134" s="3">
        <f>VLOOKUP("h2-bus"&amp;"-"&amp;D134,[1]flota_lineas_tp!$A$1:$F$65536,6,FALSE)</f>
        <v>6.6</v>
      </c>
      <c r="G134" s="1">
        <v>5092</v>
      </c>
      <c r="H134" s="3">
        <f>VLOOKUP("bus"&amp;"-"&amp;G134,[2]flota_lineas_tp!$A$1:$D$2000,4,FALSE)</f>
        <v>4.62</v>
      </c>
      <c r="J134" s="1">
        <v>5092</v>
      </c>
      <c r="K134" s="1">
        <f>VLOOKUP("bus"&amp;"-"&amp;J134,[3]flota_lineas_tp!$A$1:$D$2000,4,FALSE)</f>
        <v>13.82</v>
      </c>
      <c r="M134" s="1">
        <v>5092</v>
      </c>
    </row>
    <row r="135" spans="1:13" x14ac:dyDescent="0.2">
      <c r="A135" s="1">
        <v>5101</v>
      </c>
      <c r="B135" s="3">
        <f>VLOOKUP("h1-bus"&amp;"-"&amp;A135,[1]flota_lineas_tp!$A$1:$F$65536,6,FALSE)</f>
        <v>10.63</v>
      </c>
      <c r="D135" s="1">
        <v>5101</v>
      </c>
      <c r="E135" s="3">
        <f>VLOOKUP("h2-bus"&amp;"-"&amp;D135,[1]flota_lineas_tp!$A$1:$F$65536,6,FALSE)</f>
        <v>16.77</v>
      </c>
      <c r="G135" s="1">
        <v>5101</v>
      </c>
      <c r="H135" s="3">
        <f>VLOOKUP("bus"&amp;"-"&amp;G135,[2]flota_lineas_tp!$A$1:$D$2000,4,FALSE)</f>
        <v>6.68</v>
      </c>
      <c r="J135" s="1">
        <v>5101</v>
      </c>
      <c r="K135" s="1">
        <f>VLOOKUP("bus"&amp;"-"&amp;J135,[3]flota_lineas_tp!$A$1:$D$2000,4,FALSE)</f>
        <v>5.15</v>
      </c>
      <c r="M135" s="1">
        <v>5101</v>
      </c>
    </row>
    <row r="136" spans="1:13" x14ac:dyDescent="0.2">
      <c r="A136" s="1">
        <v>5102</v>
      </c>
      <c r="B136" s="3">
        <f>VLOOKUP("h1-bus"&amp;"-"&amp;A136,[1]flota_lineas_tp!$A$1:$F$65536,6,FALSE)</f>
        <v>4.0999999999999996</v>
      </c>
      <c r="D136" s="1">
        <v>5102</v>
      </c>
      <c r="E136" s="3">
        <f>VLOOKUP("h2-bus"&amp;"-"&amp;D136,[1]flota_lineas_tp!$A$1:$F$65536,6,FALSE)</f>
        <v>8.43</v>
      </c>
      <c r="G136" s="1">
        <v>5102</v>
      </c>
      <c r="H136" s="3">
        <f>VLOOKUP("bus"&amp;"-"&amp;G136,[2]flota_lineas_tp!$A$1:$D$2000,4,FALSE)</f>
        <v>7.38</v>
      </c>
      <c r="J136" s="1">
        <v>5102</v>
      </c>
      <c r="K136" s="1">
        <f>VLOOKUP("bus"&amp;"-"&amp;J136,[3]flota_lineas_tp!$A$1:$D$2000,4,FALSE)</f>
        <v>7.99</v>
      </c>
      <c r="M136" s="1">
        <v>5102</v>
      </c>
    </row>
    <row r="137" spans="1:13" x14ac:dyDescent="0.2">
      <c r="A137" s="1">
        <v>5111</v>
      </c>
      <c r="B137" s="3">
        <f>VLOOKUP("h1-bus"&amp;"-"&amp;A137,[1]flota_lineas_tp!$A$1:$F$65536,6,FALSE)</f>
        <v>2.06</v>
      </c>
      <c r="D137" s="1">
        <v>5111</v>
      </c>
      <c r="E137" s="3">
        <f>VLOOKUP("h2-bus"&amp;"-"&amp;D137,[1]flota_lineas_tp!$A$1:$F$65536,6,FALSE)</f>
        <v>3.86</v>
      </c>
      <c r="G137" s="1">
        <v>5111</v>
      </c>
      <c r="H137" s="3">
        <f>VLOOKUP("bus"&amp;"-"&amp;G137,[2]flota_lineas_tp!$A$1:$D$2000,4,FALSE)</f>
        <v>2.98</v>
      </c>
      <c r="J137" s="1">
        <v>5111</v>
      </c>
      <c r="K137" s="1">
        <f>VLOOKUP("bus"&amp;"-"&amp;J137,[3]flota_lineas_tp!$A$1:$D$2000,4,FALSE)</f>
        <v>2.71</v>
      </c>
      <c r="M137" s="1">
        <v>5111</v>
      </c>
    </row>
    <row r="138" spans="1:13" x14ac:dyDescent="0.2">
      <c r="A138" s="1">
        <v>5112</v>
      </c>
      <c r="B138" s="3">
        <f>VLOOKUP("h1-bus"&amp;"-"&amp;A138,[1]flota_lineas_tp!$A$1:$F$65536,6,FALSE)</f>
        <v>1.8</v>
      </c>
      <c r="D138" s="1">
        <v>5112</v>
      </c>
      <c r="E138" s="3">
        <f>VLOOKUP("h2-bus"&amp;"-"&amp;D138,[1]flota_lineas_tp!$A$1:$F$65536,6,FALSE)</f>
        <v>2.44</v>
      </c>
      <c r="G138" s="1">
        <v>5112</v>
      </c>
      <c r="H138" s="3">
        <f>VLOOKUP("bus"&amp;"-"&amp;G138,[2]flota_lineas_tp!$A$1:$D$2000,4,FALSE)</f>
        <v>2.82</v>
      </c>
      <c r="J138" s="1">
        <v>5112</v>
      </c>
      <c r="K138" s="1">
        <f>VLOOKUP("bus"&amp;"-"&amp;J138,[3]flota_lineas_tp!$A$1:$D$2000,4,FALSE)</f>
        <v>2.6</v>
      </c>
      <c r="M138" s="1">
        <v>5112</v>
      </c>
    </row>
    <row r="139" spans="1:13" x14ac:dyDescent="0.2">
      <c r="A139" s="1">
        <v>5121</v>
      </c>
      <c r="B139" s="3">
        <f>VLOOKUP("h1-bus"&amp;"-"&amp;A139,[1]flota_lineas_tp!$A$1:$F$65536,6,FALSE)</f>
        <v>1.69</v>
      </c>
      <c r="D139" s="1">
        <v>5121</v>
      </c>
      <c r="E139" s="3">
        <f>VLOOKUP("h2-bus"&amp;"-"&amp;D139,[1]flota_lineas_tp!$A$1:$F$65536,6,FALSE)</f>
        <v>3.25</v>
      </c>
      <c r="G139" s="1">
        <v>5121</v>
      </c>
      <c r="H139" s="3">
        <f>VLOOKUP("bus"&amp;"-"&amp;G139,[2]flota_lineas_tp!$A$1:$D$2000,4,FALSE)</f>
        <v>2.1</v>
      </c>
      <c r="J139" s="1">
        <v>5121</v>
      </c>
      <c r="K139" s="1">
        <f>VLOOKUP("bus"&amp;"-"&amp;J139,[3]flota_lineas_tp!$A$1:$D$2000,4,FALSE)</f>
        <v>1.88</v>
      </c>
      <c r="M139" s="1">
        <v>5121</v>
      </c>
    </row>
    <row r="140" spans="1:13" x14ac:dyDescent="0.2">
      <c r="A140" s="1">
        <v>5122</v>
      </c>
      <c r="B140" s="3">
        <f>VLOOKUP("h1-bus"&amp;"-"&amp;A140,[1]flota_lineas_tp!$A$1:$F$65536,6,FALSE)</f>
        <v>1.74</v>
      </c>
      <c r="D140" s="1">
        <v>5122</v>
      </c>
      <c r="E140" s="3">
        <f>VLOOKUP("h2-bus"&amp;"-"&amp;D140,[1]flota_lineas_tp!$A$1:$F$65536,6,FALSE)</f>
        <v>1.93</v>
      </c>
      <c r="G140" s="1">
        <v>5122</v>
      </c>
      <c r="H140" s="3">
        <f>VLOOKUP("bus"&amp;"-"&amp;G140,[2]flota_lineas_tp!$A$1:$D$2000,4,FALSE)</f>
        <v>2.17</v>
      </c>
      <c r="J140" s="1">
        <v>5122</v>
      </c>
      <c r="K140" s="1">
        <f>VLOOKUP("bus"&amp;"-"&amp;J140,[3]flota_lineas_tp!$A$1:$D$2000,4,FALSE)</f>
        <v>2.36</v>
      </c>
      <c r="M140" s="1">
        <v>5122</v>
      </c>
    </row>
    <row r="141" spans="1:13" x14ac:dyDescent="0.2">
      <c r="A141" s="1">
        <v>5131</v>
      </c>
      <c r="B141" s="3">
        <f>VLOOKUP("h1-bus"&amp;"-"&amp;A141,[1]flota_lineas_tp!$A$1:$F$65536,6,FALSE)</f>
        <v>2.31</v>
      </c>
      <c r="D141" s="1">
        <v>5131</v>
      </c>
      <c r="E141" s="3">
        <f>VLOOKUP("h2-bus"&amp;"-"&amp;D141,[1]flota_lineas_tp!$A$1:$F$65536,6,FALSE)</f>
        <v>3.89</v>
      </c>
      <c r="G141" s="1">
        <v>5131</v>
      </c>
      <c r="H141" s="3">
        <f>VLOOKUP("bus"&amp;"-"&amp;G141,[2]flota_lineas_tp!$A$1:$D$2000,4,FALSE)</f>
        <v>3.54</v>
      </c>
      <c r="J141" s="1">
        <v>5131</v>
      </c>
      <c r="K141" s="1">
        <f>VLOOKUP("bus"&amp;"-"&amp;J141,[3]flota_lineas_tp!$A$1:$D$2000,4,FALSE)</f>
        <v>3.86</v>
      </c>
      <c r="M141" s="1">
        <v>5131</v>
      </c>
    </row>
    <row r="142" spans="1:13" x14ac:dyDescent="0.2">
      <c r="A142" s="1">
        <v>5132</v>
      </c>
      <c r="B142" s="3">
        <f>VLOOKUP("h1-bus"&amp;"-"&amp;A142,[1]flota_lineas_tp!$A$1:$F$65536,6,FALSE)</f>
        <v>2.69</v>
      </c>
      <c r="D142" s="1">
        <v>5132</v>
      </c>
      <c r="E142" s="3">
        <f>VLOOKUP("h2-bus"&amp;"-"&amp;D142,[1]flota_lineas_tp!$A$1:$F$65536,6,FALSE)</f>
        <v>3.46</v>
      </c>
      <c r="G142" s="1">
        <v>5132</v>
      </c>
      <c r="H142" s="3">
        <f>VLOOKUP("bus"&amp;"-"&amp;G142,[2]flota_lineas_tp!$A$1:$D$2000,4,FALSE)</f>
        <v>3.45</v>
      </c>
      <c r="J142" s="1">
        <v>5132</v>
      </c>
      <c r="K142" s="1">
        <f>VLOOKUP("bus"&amp;"-"&amp;J142,[3]flota_lineas_tp!$A$1:$D$2000,4,FALSE)</f>
        <v>5.04</v>
      </c>
      <c r="M142" s="1">
        <v>5132</v>
      </c>
    </row>
    <row r="143" spans="1:13" x14ac:dyDescent="0.2">
      <c r="A143" s="1">
        <v>5141</v>
      </c>
      <c r="B143" s="3">
        <f>VLOOKUP("h1-bus"&amp;"-"&amp;A143,[1]flota_lineas_tp!$A$1:$F$65536,6,FALSE)</f>
        <v>1.48</v>
      </c>
      <c r="D143" s="1">
        <v>5141</v>
      </c>
      <c r="E143" s="3">
        <f>VLOOKUP("h2-bus"&amp;"-"&amp;D143,[1]flota_lineas_tp!$A$1:$F$65536,6,FALSE)</f>
        <v>1.86</v>
      </c>
      <c r="G143" s="1">
        <v>5141</v>
      </c>
      <c r="H143" s="3">
        <f>VLOOKUP("bus"&amp;"-"&amp;G143,[2]flota_lineas_tp!$A$1:$D$2000,4,FALSE)</f>
        <v>1.75</v>
      </c>
      <c r="J143" s="1">
        <v>5141</v>
      </c>
      <c r="K143" s="1">
        <f>VLOOKUP("bus"&amp;"-"&amp;J143,[3]flota_lineas_tp!$A$1:$D$2000,4,FALSE)</f>
        <v>2.35</v>
      </c>
      <c r="M143" s="1">
        <v>5141</v>
      </c>
    </row>
    <row r="144" spans="1:13" x14ac:dyDescent="0.2">
      <c r="A144" s="1">
        <v>5142</v>
      </c>
      <c r="B144" s="3">
        <f>VLOOKUP("h1-bus"&amp;"-"&amp;A144,[1]flota_lineas_tp!$A$1:$F$65536,6,FALSE)</f>
        <v>0.88</v>
      </c>
      <c r="D144" s="1">
        <v>5142</v>
      </c>
      <c r="E144" s="3">
        <f>VLOOKUP("h2-bus"&amp;"-"&amp;D144,[1]flota_lineas_tp!$A$1:$F$65536,6,FALSE)</f>
        <v>1.33</v>
      </c>
      <c r="G144" s="1">
        <v>5142</v>
      </c>
      <c r="H144" s="3">
        <f>VLOOKUP("bus"&amp;"-"&amp;G144,[2]flota_lineas_tp!$A$1:$D$2000,4,FALSE)</f>
        <v>1.1000000000000001</v>
      </c>
      <c r="J144" s="1">
        <v>5142</v>
      </c>
      <c r="K144" s="1">
        <f>VLOOKUP("bus"&amp;"-"&amp;J144,[3]flota_lineas_tp!$A$1:$D$2000,4,FALSE)</f>
        <v>0.92</v>
      </c>
      <c r="M144" s="1">
        <v>5142</v>
      </c>
    </row>
    <row r="145" spans="1:13" x14ac:dyDescent="0.2">
      <c r="A145" s="1">
        <v>5151</v>
      </c>
      <c r="B145" s="3">
        <f>VLOOKUP("h1-bus"&amp;"-"&amp;A145,[1]flota_lineas_tp!$A$1:$F$65536,6,FALSE)</f>
        <v>1</v>
      </c>
      <c r="D145" s="1">
        <v>5151</v>
      </c>
      <c r="E145" s="3">
        <f>VLOOKUP("h2-bus"&amp;"-"&amp;D145,[1]flota_lineas_tp!$A$1:$F$65536,6,FALSE)</f>
        <v>1.88</v>
      </c>
      <c r="G145" s="1">
        <v>5151</v>
      </c>
      <c r="H145" s="3">
        <f>VLOOKUP("bus"&amp;"-"&amp;G145,[2]flota_lineas_tp!$A$1:$D$2000,4,FALSE)</f>
        <v>1.77</v>
      </c>
      <c r="J145" s="1">
        <v>5151</v>
      </c>
      <c r="K145" s="1">
        <f>VLOOKUP("bus"&amp;"-"&amp;J145,[3]flota_lineas_tp!$A$1:$D$2000,4,FALSE)</f>
        <v>1.78</v>
      </c>
      <c r="M145" s="1">
        <v>5151</v>
      </c>
    </row>
    <row r="146" spans="1:13" x14ac:dyDescent="0.2">
      <c r="A146" s="1">
        <v>5152</v>
      </c>
      <c r="B146" s="3">
        <f>VLOOKUP("h1-bus"&amp;"-"&amp;A146,[1]flota_lineas_tp!$A$1:$F$65536,6,FALSE)</f>
        <v>0.92</v>
      </c>
      <c r="D146" s="1">
        <v>5152</v>
      </c>
      <c r="E146" s="3">
        <f>VLOOKUP("h2-bus"&amp;"-"&amp;D146,[1]flota_lineas_tp!$A$1:$F$65536,6,FALSE)</f>
        <v>1.4</v>
      </c>
      <c r="G146" s="1">
        <v>5152</v>
      </c>
      <c r="H146" s="3">
        <f>VLOOKUP("bus"&amp;"-"&amp;G146,[2]flota_lineas_tp!$A$1:$D$2000,4,FALSE)</f>
        <v>1.63</v>
      </c>
      <c r="J146" s="1">
        <v>5152</v>
      </c>
      <c r="K146" s="1">
        <f>VLOOKUP("bus"&amp;"-"&amp;J146,[3]flota_lineas_tp!$A$1:$D$2000,4,FALSE)</f>
        <v>1.96</v>
      </c>
      <c r="M146" s="1">
        <v>5152</v>
      </c>
    </row>
    <row r="147" spans="1:13" x14ac:dyDescent="0.2">
      <c r="A147" s="1">
        <v>5161</v>
      </c>
      <c r="B147" s="3">
        <f>VLOOKUP("h1-bus"&amp;"-"&amp;A147,[1]flota_lineas_tp!$A$1:$F$65536,6,FALSE)</f>
        <v>0.14000000000000001</v>
      </c>
      <c r="D147" s="1">
        <v>5161</v>
      </c>
      <c r="E147" s="3">
        <f>VLOOKUP("h2-bus"&amp;"-"&amp;D147,[1]flota_lineas_tp!$A$1:$F$65536,6,FALSE)</f>
        <v>0.4</v>
      </c>
      <c r="G147" s="1">
        <v>5161</v>
      </c>
      <c r="H147" s="3">
        <f>VLOOKUP("bus"&amp;"-"&amp;G147,[2]flota_lineas_tp!$A$1:$D$2000,4,FALSE)</f>
        <v>0.59</v>
      </c>
      <c r="J147" s="1">
        <v>5161</v>
      </c>
      <c r="K147" s="1">
        <f>VLOOKUP("bus"&amp;"-"&amp;J147,[3]flota_lineas_tp!$A$1:$D$2000,4,FALSE)</f>
        <v>0.75</v>
      </c>
      <c r="M147" s="1">
        <v>5161</v>
      </c>
    </row>
    <row r="148" spans="1:13" x14ac:dyDescent="0.2">
      <c r="A148" s="1">
        <v>5162</v>
      </c>
      <c r="B148" s="3">
        <f>VLOOKUP("h1-bus"&amp;"-"&amp;A148,[1]flota_lineas_tp!$A$1:$F$65536,6,FALSE)</f>
        <v>0.06</v>
      </c>
      <c r="D148" s="1">
        <v>5162</v>
      </c>
      <c r="E148" s="3">
        <f>VLOOKUP("h2-bus"&amp;"-"&amp;D148,[1]flota_lineas_tp!$A$1:$F$65536,6,FALSE)</f>
        <v>0.3</v>
      </c>
      <c r="G148" s="1">
        <v>5162</v>
      </c>
      <c r="H148" s="3">
        <f>VLOOKUP("bus"&amp;"-"&amp;G148,[2]flota_lineas_tp!$A$1:$D$2000,4,FALSE)</f>
        <v>0.53</v>
      </c>
      <c r="J148" s="1">
        <v>5162</v>
      </c>
      <c r="K148" s="1">
        <f>VLOOKUP("bus"&amp;"-"&amp;J148,[3]flota_lineas_tp!$A$1:$D$2000,4,FALSE)</f>
        <v>0.45</v>
      </c>
      <c r="M148" s="1">
        <v>5162</v>
      </c>
    </row>
    <row r="149" spans="1:13" x14ac:dyDescent="0.2">
      <c r="A149" s="1">
        <v>5171</v>
      </c>
      <c r="B149" s="3">
        <f>VLOOKUP("h1-bus"&amp;"-"&amp;A149,[1]flota_lineas_tp!$A$1:$F$65536,6,FALSE)</f>
        <v>1.33</v>
      </c>
      <c r="D149" s="1">
        <v>5171</v>
      </c>
      <c r="E149" s="3">
        <f>VLOOKUP("h2-bus"&amp;"-"&amp;D149,[1]flota_lineas_tp!$A$1:$F$65536,6,FALSE)</f>
        <v>1.21</v>
      </c>
      <c r="G149" s="1">
        <v>5171</v>
      </c>
      <c r="H149" s="3">
        <f>VLOOKUP("bus"&amp;"-"&amp;G149,[2]flota_lineas_tp!$A$1:$D$2000,4,FALSE)</f>
        <v>1.81</v>
      </c>
      <c r="J149" s="1">
        <v>5171</v>
      </c>
      <c r="K149" s="1">
        <f>VLOOKUP("bus"&amp;"-"&amp;J149,[3]flota_lineas_tp!$A$1:$D$2000,4,FALSE)</f>
        <v>1.41</v>
      </c>
      <c r="M149" s="1">
        <v>5171</v>
      </c>
    </row>
    <row r="150" spans="1:13" x14ac:dyDescent="0.2">
      <c r="A150" s="1">
        <v>5172</v>
      </c>
      <c r="B150" s="3">
        <f>VLOOKUP("h1-bus"&amp;"-"&amp;A150,[1]flota_lineas_tp!$A$1:$F$65536,6,FALSE)</f>
        <v>2</v>
      </c>
      <c r="D150" s="1">
        <v>5172</v>
      </c>
      <c r="E150" s="3">
        <f>VLOOKUP("h2-bus"&amp;"-"&amp;D150,[1]flota_lineas_tp!$A$1:$F$65536,6,FALSE)</f>
        <v>2.12</v>
      </c>
      <c r="G150" s="1">
        <v>5172</v>
      </c>
      <c r="H150" s="3">
        <f>VLOOKUP("bus"&amp;"-"&amp;G150,[2]flota_lineas_tp!$A$1:$D$2000,4,FALSE)</f>
        <v>1.52</v>
      </c>
      <c r="J150" s="1">
        <v>5172</v>
      </c>
      <c r="K150" s="1">
        <f>VLOOKUP("bus"&amp;"-"&amp;J150,[3]flota_lineas_tp!$A$1:$D$2000,4,FALSE)</f>
        <v>1.65</v>
      </c>
      <c r="M150" s="1">
        <v>5172</v>
      </c>
    </row>
    <row r="151" spans="1:13" x14ac:dyDescent="0.2">
      <c r="A151" s="1">
        <v>5181</v>
      </c>
      <c r="B151" s="3">
        <f>VLOOKUP("h1-bus"&amp;"-"&amp;A151,[1]flota_lineas_tp!$A$1:$F$65536,6,FALSE)</f>
        <v>1.69</v>
      </c>
      <c r="D151" s="1">
        <v>5181</v>
      </c>
      <c r="E151" s="3">
        <f>VLOOKUP("h2-bus"&amp;"-"&amp;D151,[1]flota_lineas_tp!$A$1:$F$65536,6,FALSE)</f>
        <v>3.47</v>
      </c>
      <c r="G151" s="1">
        <v>5181</v>
      </c>
      <c r="H151" s="3">
        <f>VLOOKUP("bus"&amp;"-"&amp;G151,[2]flota_lineas_tp!$A$1:$D$2000,4,FALSE)</f>
        <v>2.4900000000000002</v>
      </c>
      <c r="J151" s="1">
        <v>5181</v>
      </c>
      <c r="K151" s="1">
        <f>VLOOKUP("bus"&amp;"-"&amp;J151,[3]flota_lineas_tp!$A$1:$D$2000,4,FALSE)</f>
        <v>2.4300000000000002</v>
      </c>
      <c r="M151" s="1">
        <v>5181</v>
      </c>
    </row>
    <row r="152" spans="1:13" x14ac:dyDescent="0.2">
      <c r="A152" s="1">
        <v>5182</v>
      </c>
      <c r="B152" s="3">
        <f>VLOOKUP("h1-bus"&amp;"-"&amp;A152,[1]flota_lineas_tp!$A$1:$F$65536,6,FALSE)</f>
        <v>1.61</v>
      </c>
      <c r="D152" s="1">
        <v>5182</v>
      </c>
      <c r="E152" s="3">
        <f>VLOOKUP("h2-bus"&amp;"-"&amp;D152,[1]flota_lineas_tp!$A$1:$F$65536,6,FALSE)</f>
        <v>4.37</v>
      </c>
      <c r="G152" s="1">
        <v>5182</v>
      </c>
      <c r="H152" s="3">
        <f>VLOOKUP("bus"&amp;"-"&amp;G152,[2]flota_lineas_tp!$A$1:$D$2000,4,FALSE)</f>
        <v>2.3199999999999998</v>
      </c>
      <c r="J152" s="1">
        <v>5182</v>
      </c>
      <c r="K152" s="1">
        <f>VLOOKUP("bus"&amp;"-"&amp;J152,[3]flota_lineas_tp!$A$1:$D$2000,4,FALSE)</f>
        <v>2.0499999999999998</v>
      </c>
      <c r="M152" s="1">
        <v>5182</v>
      </c>
    </row>
    <row r="153" spans="1:13" x14ac:dyDescent="0.2">
      <c r="A153" s="1">
        <v>5191</v>
      </c>
      <c r="B153" s="3">
        <f>VLOOKUP("h1-bus"&amp;"-"&amp;A153,[1]flota_lineas_tp!$A$1:$F$65536,6,FALSE)</f>
        <v>2.04</v>
      </c>
      <c r="D153" s="1">
        <v>5191</v>
      </c>
      <c r="E153" s="3">
        <f>VLOOKUP("h2-bus"&amp;"-"&amp;D153,[1]flota_lineas_tp!$A$1:$F$65536,6,FALSE)</f>
        <v>1.96</v>
      </c>
      <c r="G153" s="1">
        <v>5191</v>
      </c>
      <c r="H153" s="3">
        <f>VLOOKUP("bus"&amp;"-"&amp;G153,[2]flota_lineas_tp!$A$1:$D$2000,4,FALSE)</f>
        <v>1.48</v>
      </c>
      <c r="J153" s="1">
        <v>5191</v>
      </c>
      <c r="K153" s="1">
        <f>VLOOKUP("bus"&amp;"-"&amp;J153,[3]flota_lineas_tp!$A$1:$D$2000,4,FALSE)</f>
        <v>1.63</v>
      </c>
      <c r="M153" s="1">
        <v>5191</v>
      </c>
    </row>
    <row r="154" spans="1:13" x14ac:dyDescent="0.2">
      <c r="A154" s="1">
        <v>5192</v>
      </c>
      <c r="B154" s="3">
        <f>VLOOKUP("h1-bus"&amp;"-"&amp;A154,[1]flota_lineas_tp!$A$1:$F$65536,6,FALSE)</f>
        <v>0.67</v>
      </c>
      <c r="D154" s="1">
        <v>5192</v>
      </c>
      <c r="E154" s="3">
        <f>VLOOKUP("h2-bus"&amp;"-"&amp;D154,[1]flota_lineas_tp!$A$1:$F$65536,6,FALSE)</f>
        <v>0.7</v>
      </c>
      <c r="G154" s="1">
        <v>5192</v>
      </c>
      <c r="H154" s="3">
        <f>VLOOKUP("bus"&amp;"-"&amp;G154,[2]flota_lineas_tp!$A$1:$D$2000,4,FALSE)</f>
        <v>0.51</v>
      </c>
      <c r="J154" s="1">
        <v>5192</v>
      </c>
      <c r="K154" s="1">
        <f>VLOOKUP("bus"&amp;"-"&amp;J154,[3]flota_lineas_tp!$A$1:$D$2000,4,FALSE)</f>
        <v>0.57999999999999996</v>
      </c>
      <c r="M154" s="1">
        <v>5192</v>
      </c>
    </row>
    <row r="155" spans="1:13" x14ac:dyDescent="0.2">
      <c r="A155" s="1">
        <v>5201</v>
      </c>
      <c r="B155" s="3">
        <f>VLOOKUP("h1-bus"&amp;"-"&amp;A155,[1]flota_lineas_tp!$A$1:$F$65536,6,FALSE)</f>
        <v>1.02</v>
      </c>
      <c r="D155" s="1">
        <v>5201</v>
      </c>
      <c r="E155" s="3">
        <f>VLOOKUP("h2-bus"&amp;"-"&amp;D155,[1]flota_lineas_tp!$A$1:$F$65536,6,FALSE)</f>
        <v>1.93</v>
      </c>
      <c r="G155" s="1">
        <v>5201</v>
      </c>
      <c r="H155" s="3">
        <f>VLOOKUP("bus"&amp;"-"&amp;G155,[2]flota_lineas_tp!$A$1:$D$2000,4,FALSE)</f>
        <v>1.79</v>
      </c>
      <c r="J155" s="1">
        <v>5201</v>
      </c>
      <c r="K155" s="1">
        <f>VLOOKUP("bus"&amp;"-"&amp;J155,[3]flota_lineas_tp!$A$1:$D$2000,4,FALSE)</f>
        <v>1.63</v>
      </c>
      <c r="M155" s="1">
        <v>5201</v>
      </c>
    </row>
    <row r="156" spans="1:13" x14ac:dyDescent="0.2">
      <c r="A156" s="1">
        <v>5202</v>
      </c>
      <c r="B156" s="3">
        <f>VLOOKUP("h1-bus"&amp;"-"&amp;A156,[1]flota_lineas_tp!$A$1:$F$65536,6,FALSE)</f>
        <v>1.94</v>
      </c>
      <c r="D156" s="1">
        <v>5202</v>
      </c>
      <c r="E156" s="3">
        <f>VLOOKUP("h2-bus"&amp;"-"&amp;D156,[1]flota_lineas_tp!$A$1:$F$65536,6,FALSE)</f>
        <v>2.64</v>
      </c>
      <c r="G156" s="1">
        <v>5202</v>
      </c>
      <c r="H156" s="3">
        <f>VLOOKUP("bus"&amp;"-"&amp;G156,[2]flota_lineas_tp!$A$1:$D$2000,4,FALSE)</f>
        <v>1.33</v>
      </c>
      <c r="J156" s="1">
        <v>5202</v>
      </c>
      <c r="K156" s="1">
        <f>VLOOKUP("bus"&amp;"-"&amp;J156,[3]flota_lineas_tp!$A$1:$D$2000,4,FALSE)</f>
        <v>2.06</v>
      </c>
      <c r="M156" s="1">
        <v>5202</v>
      </c>
    </row>
    <row r="157" spans="1:13" x14ac:dyDescent="0.2">
      <c r="A157" s="1">
        <v>5221</v>
      </c>
      <c r="B157" s="3">
        <f>VLOOKUP("h1-bus"&amp;"-"&amp;A157,[1]flota_lineas_tp!$A$1:$F$65536,6,FALSE)</f>
        <v>1.23</v>
      </c>
      <c r="D157" s="1">
        <v>5221</v>
      </c>
      <c r="E157" s="3">
        <f>VLOOKUP("h2-bus"&amp;"-"&amp;D157,[1]flota_lineas_tp!$A$1:$F$65536,6,FALSE)</f>
        <v>3.28</v>
      </c>
      <c r="G157" s="1">
        <v>5221</v>
      </c>
      <c r="H157" s="3">
        <f>VLOOKUP("bus"&amp;"-"&amp;G157,[2]flota_lineas_tp!$A$1:$D$2000,4,FALSE)</f>
        <v>1.99</v>
      </c>
      <c r="J157" s="1">
        <v>5221</v>
      </c>
      <c r="K157" s="1">
        <f>VLOOKUP("bus"&amp;"-"&amp;J157,[3]flota_lineas_tp!$A$1:$D$2000,4,FALSE)</f>
        <v>1.52</v>
      </c>
      <c r="M157" s="1">
        <v>5221</v>
      </c>
    </row>
    <row r="158" spans="1:13" x14ac:dyDescent="0.2">
      <c r="A158" s="1">
        <v>5222</v>
      </c>
      <c r="B158" s="3">
        <f>VLOOKUP("h1-bus"&amp;"-"&amp;A158,[1]flota_lineas_tp!$A$1:$F$65536,6,FALSE)</f>
        <v>0.72</v>
      </c>
      <c r="D158" s="1">
        <v>5222</v>
      </c>
      <c r="E158" s="3">
        <f>VLOOKUP("h2-bus"&amp;"-"&amp;D158,[1]flota_lineas_tp!$A$1:$F$65536,6,FALSE)</f>
        <v>1.67</v>
      </c>
      <c r="G158" s="1">
        <v>5222</v>
      </c>
      <c r="H158" s="3">
        <f>VLOOKUP("bus"&amp;"-"&amp;G158,[2]flota_lineas_tp!$A$1:$D$2000,4,FALSE)</f>
        <v>1.52</v>
      </c>
      <c r="J158" s="1">
        <v>5222</v>
      </c>
      <c r="K158" s="1">
        <f>VLOOKUP("bus"&amp;"-"&amp;J158,[3]flota_lineas_tp!$A$1:$D$2000,4,FALSE)</f>
        <v>1.79</v>
      </c>
      <c r="M158" s="1">
        <v>5222</v>
      </c>
    </row>
    <row r="159" spans="1:13" x14ac:dyDescent="0.2">
      <c r="A159" s="1">
        <v>6011</v>
      </c>
      <c r="B159" s="3">
        <f>VLOOKUP("h1-bus"&amp;"-"&amp;A159,[1]flota_lineas_tp!$A$1:$F$65536,6,FALSE)</f>
        <v>1.07</v>
      </c>
      <c r="D159" s="1">
        <v>6011</v>
      </c>
      <c r="E159" s="3">
        <f>VLOOKUP("h2-bus"&amp;"-"&amp;D159,[1]flota_lineas_tp!$A$1:$F$65536,6,FALSE)</f>
        <v>3.25</v>
      </c>
      <c r="G159" s="1">
        <v>6011</v>
      </c>
      <c r="H159" s="3">
        <f>VLOOKUP("bus"&amp;"-"&amp;G159,[2]flota_lineas_tp!$A$1:$D$2000,4,FALSE)</f>
        <v>3.99</v>
      </c>
      <c r="J159" s="1">
        <v>6011</v>
      </c>
      <c r="K159" s="1">
        <f>VLOOKUP("bus"&amp;"-"&amp;J159,[3]flota_lineas_tp!$A$1:$D$2000,4,FALSE)</f>
        <v>3.93</v>
      </c>
      <c r="M159" s="1">
        <v>6011</v>
      </c>
    </row>
    <row r="160" spans="1:13" x14ac:dyDescent="0.2">
      <c r="A160" s="1">
        <v>6012</v>
      </c>
      <c r="B160" s="3">
        <f>VLOOKUP("h1-bus"&amp;"-"&amp;A160,[1]flota_lineas_tp!$A$1:$F$65536,6,FALSE)</f>
        <v>1.02</v>
      </c>
      <c r="D160" s="1">
        <v>6012</v>
      </c>
      <c r="E160" s="3">
        <f>VLOOKUP("h2-bus"&amp;"-"&amp;D160,[1]flota_lineas_tp!$A$1:$F$65536,6,FALSE)</f>
        <v>2.56</v>
      </c>
      <c r="G160" s="1">
        <v>6012</v>
      </c>
      <c r="H160" s="3">
        <f>VLOOKUP("bus"&amp;"-"&amp;G160,[2]flota_lineas_tp!$A$1:$D$2000,4,FALSE)</f>
        <v>3.23</v>
      </c>
      <c r="J160" s="1">
        <v>6012</v>
      </c>
      <c r="K160" s="1">
        <f>VLOOKUP("bus"&amp;"-"&amp;J160,[3]flota_lineas_tp!$A$1:$D$2000,4,FALSE)</f>
        <v>3.26</v>
      </c>
      <c r="M160" s="1">
        <v>6012</v>
      </c>
    </row>
    <row r="161" spans="1:13" x14ac:dyDescent="0.2">
      <c r="A161" s="1">
        <v>6021</v>
      </c>
      <c r="B161" s="3">
        <f>VLOOKUP("h1-bus"&amp;"-"&amp;A161,[1]flota_lineas_tp!$A$1:$F$65536,6,FALSE)</f>
        <v>24.23</v>
      </c>
      <c r="D161" s="1">
        <v>6021</v>
      </c>
      <c r="E161" s="3">
        <f>VLOOKUP("h2-bus"&amp;"-"&amp;D161,[1]flota_lineas_tp!$A$1:$F$65536,6,FALSE)</f>
        <v>28.27</v>
      </c>
      <c r="G161" s="1">
        <v>6021</v>
      </c>
      <c r="H161" s="3">
        <f>VLOOKUP("bus"&amp;"-"&amp;G161,[2]flota_lineas_tp!$A$1:$D$2000,4,FALSE)</f>
        <v>18.55</v>
      </c>
      <c r="J161" s="1">
        <v>6021</v>
      </c>
      <c r="K161" s="1">
        <f>VLOOKUP("bus"&amp;"-"&amp;J161,[3]flota_lineas_tp!$A$1:$D$2000,4,FALSE)</f>
        <v>17.79</v>
      </c>
      <c r="M161" s="1">
        <v>6021</v>
      </c>
    </row>
    <row r="162" spans="1:13" x14ac:dyDescent="0.2">
      <c r="A162" s="1">
        <v>6022</v>
      </c>
      <c r="B162" s="3">
        <f>VLOOKUP("h1-bus"&amp;"-"&amp;A162,[1]flota_lineas_tp!$A$1:$F$65536,6,FALSE)</f>
        <v>9.98</v>
      </c>
      <c r="D162" s="1">
        <v>6022</v>
      </c>
      <c r="E162" s="3">
        <f>VLOOKUP("h2-bus"&amp;"-"&amp;D162,[1]flota_lineas_tp!$A$1:$F$65536,6,FALSE)</f>
        <v>22.53</v>
      </c>
      <c r="G162" s="1">
        <v>6022</v>
      </c>
      <c r="H162" s="3">
        <f>VLOOKUP("bus"&amp;"-"&amp;G162,[2]flota_lineas_tp!$A$1:$D$2000,4,FALSE)</f>
        <v>19.27</v>
      </c>
      <c r="J162" s="1">
        <v>6022</v>
      </c>
      <c r="K162" s="1">
        <f>VLOOKUP("bus"&amp;"-"&amp;J162,[3]flota_lineas_tp!$A$1:$D$2000,4,FALSE)</f>
        <v>18.09</v>
      </c>
      <c r="M162" s="1">
        <v>6022</v>
      </c>
    </row>
    <row r="163" spans="1:13" x14ac:dyDescent="0.2">
      <c r="A163" s="1">
        <v>6031</v>
      </c>
      <c r="B163" s="3">
        <f>VLOOKUP("h1-bus"&amp;"-"&amp;A163,[1]flota_lineas_tp!$A$1:$F$65536,6,FALSE)</f>
        <v>9.14</v>
      </c>
      <c r="D163" s="1">
        <v>6031</v>
      </c>
      <c r="E163" s="3">
        <f>VLOOKUP("h2-bus"&amp;"-"&amp;D163,[1]flota_lineas_tp!$A$1:$F$65536,6,FALSE)</f>
        <v>16.37</v>
      </c>
      <c r="G163" s="1">
        <v>6031</v>
      </c>
      <c r="H163" s="3">
        <f>VLOOKUP("bus"&amp;"-"&amp;G163,[2]flota_lineas_tp!$A$1:$D$2000,4,FALSE)</f>
        <v>13.05</v>
      </c>
      <c r="J163" s="1">
        <v>6031</v>
      </c>
      <c r="K163" s="1">
        <f>VLOOKUP("bus"&amp;"-"&amp;J163,[3]flota_lineas_tp!$A$1:$D$2000,4,FALSE)</f>
        <v>11.55</v>
      </c>
      <c r="M163" s="1">
        <v>6031</v>
      </c>
    </row>
    <row r="164" spans="1:13" x14ac:dyDescent="0.2">
      <c r="A164" s="1">
        <v>6032</v>
      </c>
      <c r="B164" s="3">
        <f>VLOOKUP("h1-bus"&amp;"-"&amp;A164,[1]flota_lineas_tp!$A$1:$F$65536,6,FALSE)</f>
        <v>7.5</v>
      </c>
      <c r="D164" s="1">
        <v>6032</v>
      </c>
      <c r="E164" s="3">
        <f>VLOOKUP("h2-bus"&amp;"-"&amp;D164,[1]flota_lineas_tp!$A$1:$F$65536,6,FALSE)</f>
        <v>15.15</v>
      </c>
      <c r="G164" s="1">
        <v>6032</v>
      </c>
      <c r="H164" s="3">
        <f>VLOOKUP("bus"&amp;"-"&amp;G164,[2]flota_lineas_tp!$A$1:$D$2000,4,FALSE)</f>
        <v>13.85</v>
      </c>
      <c r="J164" s="1">
        <v>6032</v>
      </c>
      <c r="K164" s="1">
        <f>VLOOKUP("bus"&amp;"-"&amp;J164,[3]flota_lineas_tp!$A$1:$D$2000,4,FALSE)</f>
        <v>16.22</v>
      </c>
      <c r="M164" s="1">
        <v>6032</v>
      </c>
    </row>
    <row r="165" spans="1:13" x14ac:dyDescent="0.2">
      <c r="A165" s="1">
        <v>6041</v>
      </c>
      <c r="B165" s="3">
        <f>VLOOKUP("h1-bus"&amp;"-"&amp;A165,[1]flota_lineas_tp!$A$1:$F$65536,6,FALSE)</f>
        <v>2.4700000000000002</v>
      </c>
      <c r="D165" s="1">
        <v>6041</v>
      </c>
      <c r="E165" s="3">
        <f>VLOOKUP("h2-bus"&amp;"-"&amp;D165,[1]flota_lineas_tp!$A$1:$F$65536,6,FALSE)</f>
        <v>3.3</v>
      </c>
      <c r="G165" s="1">
        <v>6041</v>
      </c>
      <c r="H165" s="3">
        <f>VLOOKUP("bus"&amp;"-"&amp;G165,[2]flota_lineas_tp!$A$1:$D$2000,4,FALSE)</f>
        <v>2.77</v>
      </c>
      <c r="J165" s="1">
        <v>6041</v>
      </c>
      <c r="K165" s="1">
        <f>VLOOKUP("bus"&amp;"-"&amp;J165,[3]flota_lineas_tp!$A$1:$D$2000,4,FALSE)</f>
        <v>2.76</v>
      </c>
      <c r="M165" s="1">
        <v>6041</v>
      </c>
    </row>
    <row r="166" spans="1:13" x14ac:dyDescent="0.2">
      <c r="A166" s="1">
        <v>6042</v>
      </c>
      <c r="B166" s="3">
        <f>VLOOKUP("h1-bus"&amp;"-"&amp;A166,[1]flota_lineas_tp!$A$1:$F$65536,6,FALSE)</f>
        <v>2.04</v>
      </c>
      <c r="D166" s="1">
        <v>6042</v>
      </c>
      <c r="E166" s="3">
        <f>VLOOKUP("h2-bus"&amp;"-"&amp;D166,[1]flota_lineas_tp!$A$1:$F$65536,6,FALSE)</f>
        <v>8.23</v>
      </c>
      <c r="G166" s="1">
        <v>6042</v>
      </c>
      <c r="H166" s="3">
        <f>VLOOKUP("bus"&amp;"-"&amp;G166,[2]flota_lineas_tp!$A$1:$D$2000,4,FALSE)</f>
        <v>3.3</v>
      </c>
      <c r="J166" s="1">
        <v>6042</v>
      </c>
      <c r="K166" s="1">
        <f>VLOOKUP("bus"&amp;"-"&amp;J166,[3]flota_lineas_tp!$A$1:$D$2000,4,FALSE)</f>
        <v>4.13</v>
      </c>
      <c r="M166" s="1">
        <v>6042</v>
      </c>
    </row>
    <row r="167" spans="1:13" x14ac:dyDescent="0.2">
      <c r="A167" s="1">
        <v>6051</v>
      </c>
      <c r="B167" s="3">
        <f>VLOOKUP("h1-bus"&amp;"-"&amp;A167,[1]flota_lineas_tp!$A$1:$F$65536,6,FALSE)</f>
        <v>11.34</v>
      </c>
      <c r="D167" s="1">
        <v>6051</v>
      </c>
      <c r="E167" s="3">
        <f>VLOOKUP("h2-bus"&amp;"-"&amp;D167,[1]flota_lineas_tp!$A$1:$F$65536,6,FALSE)</f>
        <v>9.66</v>
      </c>
      <c r="G167" s="1">
        <v>6051</v>
      </c>
      <c r="H167" s="3">
        <f>VLOOKUP("bus"&amp;"-"&amp;G167,[2]flota_lineas_tp!$A$1:$D$2000,4,FALSE)</f>
        <v>8.52</v>
      </c>
      <c r="J167" s="1">
        <v>6051</v>
      </c>
      <c r="K167" s="1">
        <f>VLOOKUP("bus"&amp;"-"&amp;J167,[3]flota_lineas_tp!$A$1:$D$2000,4,FALSE)</f>
        <v>9.67</v>
      </c>
      <c r="M167" s="1">
        <v>6051</v>
      </c>
    </row>
    <row r="168" spans="1:13" x14ac:dyDescent="0.2">
      <c r="A168" s="1">
        <v>6052</v>
      </c>
      <c r="B168" s="3">
        <f>VLOOKUP("h1-bus"&amp;"-"&amp;A168,[1]flota_lineas_tp!$A$1:$F$65536,6,FALSE)</f>
        <v>4.74</v>
      </c>
      <c r="D168" s="1">
        <v>6052</v>
      </c>
      <c r="E168" s="3">
        <f>VLOOKUP("h2-bus"&amp;"-"&amp;D168,[1]flota_lineas_tp!$A$1:$F$65536,6,FALSE)</f>
        <v>8.4600000000000009</v>
      </c>
      <c r="G168" s="1">
        <v>6052</v>
      </c>
      <c r="H168" s="3">
        <f>VLOOKUP("bus"&amp;"-"&amp;G168,[2]flota_lineas_tp!$A$1:$D$2000,4,FALSE)</f>
        <v>7.15</v>
      </c>
      <c r="J168" s="1">
        <v>6052</v>
      </c>
      <c r="K168" s="1">
        <f>VLOOKUP("bus"&amp;"-"&amp;J168,[3]flota_lineas_tp!$A$1:$D$2000,4,FALSE)</f>
        <v>5.89</v>
      </c>
      <c r="M168" s="1">
        <v>6052</v>
      </c>
    </row>
    <row r="169" spans="1:13" x14ac:dyDescent="0.2">
      <c r="A169" s="1">
        <v>6061</v>
      </c>
      <c r="B169" s="3">
        <f>VLOOKUP("h1-bus"&amp;"-"&amp;A169,[1]flota_lineas_tp!$A$1:$F$65536,6,FALSE)</f>
        <v>5.77</v>
      </c>
      <c r="D169" s="1">
        <v>6061</v>
      </c>
      <c r="E169" s="3">
        <f>VLOOKUP("h2-bus"&amp;"-"&amp;D169,[1]flota_lineas_tp!$A$1:$F$65536,6,FALSE)</f>
        <v>7.93</v>
      </c>
      <c r="G169" s="1">
        <v>6061</v>
      </c>
      <c r="H169" s="3">
        <f>VLOOKUP("bus"&amp;"-"&amp;G169,[2]flota_lineas_tp!$A$1:$D$2000,4,FALSE)</f>
        <v>8.56</v>
      </c>
      <c r="J169" s="1">
        <v>6061</v>
      </c>
      <c r="K169" s="1">
        <f>VLOOKUP("bus"&amp;"-"&amp;J169,[3]flota_lineas_tp!$A$1:$D$2000,4,FALSE)</f>
        <v>9.2100000000000009</v>
      </c>
      <c r="M169" s="1">
        <v>6061</v>
      </c>
    </row>
    <row r="170" spans="1:13" x14ac:dyDescent="0.2">
      <c r="A170" s="1">
        <v>6062</v>
      </c>
      <c r="B170" s="3">
        <f>VLOOKUP("h1-bus"&amp;"-"&amp;A170,[1]flota_lineas_tp!$A$1:$F$65536,6,FALSE)</f>
        <v>2.5499999999999998</v>
      </c>
      <c r="D170" s="1">
        <v>6062</v>
      </c>
      <c r="E170" s="3">
        <f>VLOOKUP("h2-bus"&amp;"-"&amp;D170,[1]flota_lineas_tp!$A$1:$F$65536,6,FALSE)</f>
        <v>6.72</v>
      </c>
      <c r="G170" s="1">
        <v>6062</v>
      </c>
      <c r="H170" s="3">
        <f>VLOOKUP("bus"&amp;"-"&amp;G170,[2]flota_lineas_tp!$A$1:$D$2000,4,FALSE)</f>
        <v>8.25</v>
      </c>
      <c r="J170" s="1">
        <v>6062</v>
      </c>
      <c r="K170" s="1">
        <f>VLOOKUP("bus"&amp;"-"&amp;J170,[3]flota_lineas_tp!$A$1:$D$2000,4,FALSE)</f>
        <v>5.54</v>
      </c>
      <c r="M170" s="1">
        <v>6062</v>
      </c>
    </row>
    <row r="171" spans="1:13" x14ac:dyDescent="0.2">
      <c r="A171" s="1">
        <v>6071</v>
      </c>
      <c r="B171" s="3">
        <f>VLOOKUP("h1-bus"&amp;"-"&amp;A171,[1]flota_lineas_tp!$A$1:$F$65536,6,FALSE)</f>
        <v>5.92</v>
      </c>
      <c r="D171" s="1">
        <v>6071</v>
      </c>
      <c r="E171" s="3">
        <f>VLOOKUP("h2-bus"&amp;"-"&amp;D171,[1]flota_lineas_tp!$A$1:$F$65536,6,FALSE)</f>
        <v>9.17</v>
      </c>
      <c r="G171" s="1">
        <v>6071</v>
      </c>
      <c r="H171" s="3">
        <f>VLOOKUP("bus"&amp;"-"&amp;G171,[2]flota_lineas_tp!$A$1:$D$2000,4,FALSE)</f>
        <v>7.87</v>
      </c>
      <c r="J171" s="1">
        <v>6071</v>
      </c>
      <c r="K171" s="1">
        <f>VLOOKUP("bus"&amp;"-"&amp;J171,[3]flota_lineas_tp!$A$1:$D$2000,4,FALSE)</f>
        <v>6.07</v>
      </c>
      <c r="M171" s="1">
        <v>6071</v>
      </c>
    </row>
    <row r="172" spans="1:13" x14ac:dyDescent="0.2">
      <c r="A172" s="1">
        <v>6072</v>
      </c>
      <c r="B172" s="3">
        <f>VLOOKUP("h1-bus"&amp;"-"&amp;A172,[1]flota_lineas_tp!$A$1:$F$65536,6,FALSE)</f>
        <v>2.91</v>
      </c>
      <c r="D172" s="1">
        <v>6072</v>
      </c>
      <c r="E172" s="3">
        <f>VLOOKUP("h2-bus"&amp;"-"&amp;D172,[1]flota_lineas_tp!$A$1:$F$65536,6,FALSE)</f>
        <v>4.9400000000000004</v>
      </c>
      <c r="G172" s="1">
        <v>6072</v>
      </c>
      <c r="H172" s="3">
        <f>VLOOKUP("bus"&amp;"-"&amp;G172,[2]flota_lineas_tp!$A$1:$D$2000,4,FALSE)</f>
        <v>7.71</v>
      </c>
      <c r="J172" s="1">
        <v>6072</v>
      </c>
      <c r="K172" s="1">
        <f>VLOOKUP("bus"&amp;"-"&amp;J172,[3]flota_lineas_tp!$A$1:$D$2000,4,FALSE)</f>
        <v>7.46</v>
      </c>
      <c r="M172" s="1">
        <v>6072</v>
      </c>
    </row>
    <row r="173" spans="1:13" x14ac:dyDescent="0.2">
      <c r="A173" s="1">
        <v>6081</v>
      </c>
      <c r="B173" s="3">
        <f>VLOOKUP("h1-bus"&amp;"-"&amp;A173,[1]flota_lineas_tp!$A$1:$F$65536,6,FALSE)</f>
        <v>3.93</v>
      </c>
      <c r="D173" s="1">
        <v>6081</v>
      </c>
      <c r="E173" s="3">
        <f>VLOOKUP("h2-bus"&amp;"-"&amp;D173,[1]flota_lineas_tp!$A$1:$F$65536,6,FALSE)</f>
        <v>6.87</v>
      </c>
      <c r="G173" s="1">
        <v>6081</v>
      </c>
      <c r="H173" s="3">
        <f>VLOOKUP("bus"&amp;"-"&amp;G173,[2]flota_lineas_tp!$A$1:$D$2000,4,FALSE)</f>
        <v>4.68</v>
      </c>
      <c r="J173" s="1">
        <v>6081</v>
      </c>
      <c r="K173" s="1">
        <f>VLOOKUP("bus"&amp;"-"&amp;J173,[3]flota_lineas_tp!$A$1:$D$2000,4,FALSE)</f>
        <v>4.24</v>
      </c>
      <c r="M173" s="1">
        <v>6081</v>
      </c>
    </row>
    <row r="174" spans="1:13" x14ac:dyDescent="0.2">
      <c r="A174" s="1">
        <v>6082</v>
      </c>
      <c r="B174" s="3">
        <f>VLOOKUP("h1-bus"&amp;"-"&amp;A174,[1]flota_lineas_tp!$A$1:$F$65536,6,FALSE)</f>
        <v>1.49</v>
      </c>
      <c r="D174" s="1">
        <v>6082</v>
      </c>
      <c r="E174" s="3">
        <f>VLOOKUP("h2-bus"&amp;"-"&amp;D174,[1]flota_lineas_tp!$A$1:$F$65536,6,FALSE)</f>
        <v>3.09</v>
      </c>
      <c r="G174" s="1">
        <v>6082</v>
      </c>
      <c r="H174" s="3">
        <f>VLOOKUP("bus"&amp;"-"&amp;G174,[2]flota_lineas_tp!$A$1:$D$2000,4,FALSE)</f>
        <v>3.75</v>
      </c>
      <c r="J174" s="1">
        <v>6082</v>
      </c>
      <c r="K174" s="1">
        <f>VLOOKUP("bus"&amp;"-"&amp;J174,[3]flota_lineas_tp!$A$1:$D$2000,4,FALSE)</f>
        <v>3.75</v>
      </c>
      <c r="M174" s="1">
        <v>6082</v>
      </c>
    </row>
    <row r="175" spans="1:13" x14ac:dyDescent="0.2">
      <c r="A175" s="1">
        <v>6091</v>
      </c>
      <c r="B175" s="3">
        <f>VLOOKUP("h1-bus"&amp;"-"&amp;A175,[1]flota_lineas_tp!$A$1:$F$65536,6,FALSE)</f>
        <v>4.37</v>
      </c>
      <c r="D175" s="1">
        <v>6091</v>
      </c>
      <c r="E175" s="3">
        <f>VLOOKUP("h2-bus"&amp;"-"&amp;D175,[1]flota_lineas_tp!$A$1:$F$65536,6,FALSE)</f>
        <v>5.97</v>
      </c>
      <c r="G175" s="1">
        <v>6091</v>
      </c>
      <c r="H175" s="3">
        <f>VLOOKUP("bus"&amp;"-"&amp;G175,[2]flota_lineas_tp!$A$1:$D$2000,4,FALSE)</f>
        <v>5.38</v>
      </c>
      <c r="J175" s="1">
        <v>6091</v>
      </c>
      <c r="K175" s="1">
        <f>VLOOKUP("bus"&amp;"-"&amp;J175,[3]flota_lineas_tp!$A$1:$D$2000,4,FALSE)</f>
        <v>7.96</v>
      </c>
      <c r="M175" s="1">
        <v>6091</v>
      </c>
    </row>
    <row r="176" spans="1:13" x14ac:dyDescent="0.2">
      <c r="A176" s="1">
        <v>6092</v>
      </c>
      <c r="B176" s="3">
        <f>VLOOKUP("h1-bus"&amp;"-"&amp;A176,[1]flota_lineas_tp!$A$1:$F$65536,6,FALSE)</f>
        <v>7.16</v>
      </c>
      <c r="D176" s="1">
        <v>6092</v>
      </c>
      <c r="E176" s="3">
        <f>VLOOKUP("h2-bus"&amp;"-"&amp;D176,[1]flota_lineas_tp!$A$1:$F$65536,6,FALSE)</f>
        <v>5.64</v>
      </c>
      <c r="G176" s="1">
        <v>6092</v>
      </c>
      <c r="H176" s="3">
        <f>VLOOKUP("bus"&amp;"-"&amp;G176,[2]flota_lineas_tp!$A$1:$D$2000,4,FALSE)</f>
        <v>5.72</v>
      </c>
      <c r="J176" s="1">
        <v>6092</v>
      </c>
      <c r="K176" s="1">
        <f>VLOOKUP("bus"&amp;"-"&amp;J176,[3]flota_lineas_tp!$A$1:$D$2000,4,FALSE)</f>
        <v>3.74</v>
      </c>
      <c r="M176" s="1">
        <v>6092</v>
      </c>
    </row>
    <row r="177" spans="1:13" x14ac:dyDescent="0.2">
      <c r="A177" s="1">
        <v>6101</v>
      </c>
      <c r="B177" s="3">
        <f>VLOOKUP("h1-bus"&amp;"-"&amp;A177,[1]flota_lineas_tp!$A$1:$F$65536,6,FALSE)</f>
        <v>4.26</v>
      </c>
      <c r="D177" s="1">
        <v>6101</v>
      </c>
      <c r="E177" s="3">
        <f>VLOOKUP("h2-bus"&amp;"-"&amp;D177,[1]flota_lineas_tp!$A$1:$F$65536,6,FALSE)</f>
        <v>7.14</v>
      </c>
      <c r="G177" s="1">
        <v>6101</v>
      </c>
      <c r="H177" s="3">
        <f>VLOOKUP("bus"&amp;"-"&amp;G177,[2]flota_lineas_tp!$A$1:$D$2000,4,FALSE)</f>
        <v>4.34</v>
      </c>
      <c r="J177" s="1">
        <v>6101</v>
      </c>
      <c r="K177" s="1">
        <f>VLOOKUP("bus"&amp;"-"&amp;J177,[3]flota_lineas_tp!$A$1:$D$2000,4,FALSE)</f>
        <v>3.39</v>
      </c>
      <c r="M177" s="1">
        <v>6101</v>
      </c>
    </row>
    <row r="178" spans="1:13" x14ac:dyDescent="0.2">
      <c r="A178" s="1">
        <v>6102</v>
      </c>
      <c r="B178" s="3">
        <f>VLOOKUP("h1-bus"&amp;"-"&amp;A178,[1]flota_lineas_tp!$A$1:$F$65536,6,FALSE)</f>
        <v>1.83</v>
      </c>
      <c r="D178" s="1">
        <v>6102</v>
      </c>
      <c r="E178" s="3">
        <f>VLOOKUP("h2-bus"&amp;"-"&amp;D178,[1]flota_lineas_tp!$A$1:$F$65536,6,FALSE)</f>
        <v>2.77</v>
      </c>
      <c r="G178" s="1">
        <v>6102</v>
      </c>
      <c r="H178" s="3">
        <f>VLOOKUP("bus"&amp;"-"&amp;G178,[2]flota_lineas_tp!$A$1:$D$2000,4,FALSE)</f>
        <v>3.5</v>
      </c>
      <c r="J178" s="1">
        <v>6102</v>
      </c>
      <c r="K178" s="1">
        <f>VLOOKUP("bus"&amp;"-"&amp;J178,[3]flota_lineas_tp!$A$1:$D$2000,4,FALSE)</f>
        <v>5.89</v>
      </c>
      <c r="M178" s="1">
        <v>6102</v>
      </c>
    </row>
    <row r="179" spans="1:13" x14ac:dyDescent="0.2">
      <c r="A179" s="1">
        <v>6111</v>
      </c>
      <c r="B179" s="3">
        <f>VLOOKUP("h1-bus"&amp;"-"&amp;A179,[1]flota_lineas_tp!$A$1:$F$65536,6,FALSE)</f>
        <v>12.09</v>
      </c>
      <c r="D179" s="1">
        <v>6111</v>
      </c>
      <c r="E179" s="3">
        <f>VLOOKUP("h2-bus"&amp;"-"&amp;D179,[1]flota_lineas_tp!$A$1:$F$65536,6,FALSE)</f>
        <v>16.97</v>
      </c>
      <c r="G179" s="1">
        <v>6111</v>
      </c>
      <c r="H179" s="3">
        <f>VLOOKUP("bus"&amp;"-"&amp;G179,[2]flota_lineas_tp!$A$1:$D$2000,4,FALSE)</f>
        <v>11.24</v>
      </c>
      <c r="J179" s="1">
        <v>6111</v>
      </c>
      <c r="K179" s="1">
        <f>VLOOKUP("bus"&amp;"-"&amp;J179,[3]flota_lineas_tp!$A$1:$D$2000,4,FALSE)</f>
        <v>11.09</v>
      </c>
      <c r="M179" s="1">
        <v>6111</v>
      </c>
    </row>
    <row r="180" spans="1:13" x14ac:dyDescent="0.2">
      <c r="A180" s="1">
        <v>6112</v>
      </c>
      <c r="B180" s="3">
        <f>VLOOKUP("h1-bus"&amp;"-"&amp;A180,[1]flota_lineas_tp!$A$1:$F$65536,6,FALSE)</f>
        <v>6.13</v>
      </c>
      <c r="D180" s="1">
        <v>6112</v>
      </c>
      <c r="E180" s="3">
        <f>VLOOKUP("h2-bus"&amp;"-"&amp;D180,[1]flota_lineas_tp!$A$1:$F$65536,6,FALSE)</f>
        <v>10.220000000000001</v>
      </c>
      <c r="G180" s="1">
        <v>6112</v>
      </c>
      <c r="H180" s="3">
        <f>VLOOKUP("bus"&amp;"-"&amp;G180,[2]flota_lineas_tp!$A$1:$D$2000,4,FALSE)</f>
        <v>11.74</v>
      </c>
      <c r="J180" s="1">
        <v>6112</v>
      </c>
      <c r="K180" s="1">
        <f>VLOOKUP("bus"&amp;"-"&amp;J180,[3]flota_lineas_tp!$A$1:$D$2000,4,FALSE)</f>
        <v>13.19</v>
      </c>
      <c r="M180" s="1">
        <v>6112</v>
      </c>
    </row>
    <row r="181" spans="1:13" x14ac:dyDescent="0.2">
      <c r="A181" s="1">
        <v>6121</v>
      </c>
      <c r="B181" s="3">
        <f>VLOOKUP("h1-bus"&amp;"-"&amp;A181,[1]flota_lineas_tp!$A$1:$F$65536,6,FALSE)</f>
        <v>10.44</v>
      </c>
      <c r="D181" s="1">
        <v>6121</v>
      </c>
      <c r="E181" s="3">
        <f>VLOOKUP("h2-bus"&amp;"-"&amp;D181,[1]flota_lineas_tp!$A$1:$F$65536,6,FALSE)</f>
        <v>11.05</v>
      </c>
      <c r="G181" s="1">
        <v>6121</v>
      </c>
      <c r="H181" s="3">
        <f>VLOOKUP("bus"&amp;"-"&amp;G181,[2]flota_lineas_tp!$A$1:$D$2000,4,FALSE)</f>
        <v>10.15</v>
      </c>
      <c r="J181" s="1">
        <v>6121</v>
      </c>
      <c r="K181" s="1">
        <f>VLOOKUP("bus"&amp;"-"&amp;J181,[3]flota_lineas_tp!$A$1:$D$2000,4,FALSE)</f>
        <v>10.6</v>
      </c>
      <c r="M181" s="1">
        <v>6121</v>
      </c>
    </row>
    <row r="182" spans="1:13" x14ac:dyDescent="0.2">
      <c r="A182" s="1">
        <v>6122</v>
      </c>
      <c r="B182" s="3">
        <f>VLOOKUP("h1-bus"&amp;"-"&amp;A182,[1]flota_lineas_tp!$A$1:$F$65536,6,FALSE)</f>
        <v>9.1300000000000008</v>
      </c>
      <c r="D182" s="1">
        <v>6122</v>
      </c>
      <c r="E182" s="3">
        <f>VLOOKUP("h2-bus"&amp;"-"&amp;D182,[1]flota_lineas_tp!$A$1:$F$65536,6,FALSE)</f>
        <v>13.81</v>
      </c>
      <c r="G182" s="1">
        <v>6122</v>
      </c>
      <c r="H182" s="3">
        <f>VLOOKUP("bus"&amp;"-"&amp;G182,[2]flota_lineas_tp!$A$1:$D$2000,4,FALSE)</f>
        <v>8.2200000000000006</v>
      </c>
      <c r="J182" s="1">
        <v>6122</v>
      </c>
      <c r="K182" s="1">
        <f>VLOOKUP("bus"&amp;"-"&amp;J182,[3]flota_lineas_tp!$A$1:$D$2000,4,FALSE)</f>
        <v>7.58</v>
      </c>
      <c r="M182" s="1">
        <v>6122</v>
      </c>
    </row>
    <row r="183" spans="1:13" x14ac:dyDescent="0.2">
      <c r="A183" s="1">
        <v>7011</v>
      </c>
      <c r="B183" s="3">
        <f>VLOOKUP("h1-bus"&amp;"-"&amp;A183,[1]flota_lineas_tp!$A$1:$F$65536,6,FALSE)</f>
        <v>5.87</v>
      </c>
      <c r="D183" s="1">
        <v>7011</v>
      </c>
      <c r="E183" s="3">
        <f>VLOOKUP("h2-bus"&amp;"-"&amp;D183,[1]flota_lineas_tp!$A$1:$F$65536,6,FALSE)</f>
        <v>6.86</v>
      </c>
      <c r="G183" s="1">
        <v>7011</v>
      </c>
      <c r="H183" s="3">
        <f>VLOOKUP("bus"&amp;"-"&amp;G183,[2]flota_lineas_tp!$A$1:$D$2000,4,FALSE)</f>
        <v>6.65</v>
      </c>
      <c r="J183" s="1">
        <v>7011</v>
      </c>
      <c r="K183" s="1">
        <f>VLOOKUP("bus"&amp;"-"&amp;J183,[3]flota_lineas_tp!$A$1:$D$2000,4,FALSE)</f>
        <v>7.95</v>
      </c>
      <c r="M183" s="1">
        <v>7011</v>
      </c>
    </row>
    <row r="184" spans="1:13" x14ac:dyDescent="0.2">
      <c r="A184" s="1">
        <v>7012</v>
      </c>
      <c r="B184" s="3">
        <f>VLOOKUP("h1-bus"&amp;"-"&amp;A184,[1]flota_lineas_tp!$A$1:$F$65536,6,FALSE)</f>
        <v>4.0599999999999996</v>
      </c>
      <c r="D184" s="1">
        <v>7012</v>
      </c>
      <c r="E184" s="3">
        <f>VLOOKUP("h2-bus"&amp;"-"&amp;D184,[1]flota_lineas_tp!$A$1:$F$65536,6,FALSE)</f>
        <v>8.82</v>
      </c>
      <c r="G184" s="1">
        <v>7012</v>
      </c>
      <c r="H184" s="3">
        <f>VLOOKUP("bus"&amp;"-"&amp;G184,[2]flota_lineas_tp!$A$1:$D$2000,4,FALSE)</f>
        <v>7.14</v>
      </c>
      <c r="J184" s="1">
        <v>7012</v>
      </c>
      <c r="K184" s="1">
        <f>VLOOKUP("bus"&amp;"-"&amp;J184,[3]flota_lineas_tp!$A$1:$D$2000,4,FALSE)</f>
        <v>6.49</v>
      </c>
      <c r="M184" s="1">
        <v>7012</v>
      </c>
    </row>
    <row r="185" spans="1:13" x14ac:dyDescent="0.2">
      <c r="A185" s="1">
        <v>7021</v>
      </c>
      <c r="B185" s="3">
        <f>VLOOKUP("h1-bus"&amp;"-"&amp;A185,[1]flota_lineas_tp!$A$1:$F$65536,6,FALSE)</f>
        <v>3.45</v>
      </c>
      <c r="D185" s="1">
        <v>7021</v>
      </c>
      <c r="E185" s="3">
        <f>VLOOKUP("h2-bus"&amp;"-"&amp;D185,[1]flota_lineas_tp!$A$1:$F$65536,6,FALSE)</f>
        <v>5.13</v>
      </c>
      <c r="G185" s="1">
        <v>7021</v>
      </c>
      <c r="H185" s="3">
        <f>VLOOKUP("bus"&amp;"-"&amp;G185,[2]flota_lineas_tp!$A$1:$D$2000,4,FALSE)</f>
        <v>5.66</v>
      </c>
      <c r="J185" s="1">
        <v>7021</v>
      </c>
      <c r="K185" s="1">
        <f>VLOOKUP("bus"&amp;"-"&amp;J185,[3]flota_lineas_tp!$A$1:$D$2000,4,FALSE)</f>
        <v>7.45</v>
      </c>
      <c r="M185" s="1">
        <v>7021</v>
      </c>
    </row>
    <row r="186" spans="1:13" x14ac:dyDescent="0.2">
      <c r="A186" s="1">
        <v>7022</v>
      </c>
      <c r="B186" s="3">
        <f>VLOOKUP("h1-bus"&amp;"-"&amp;A186,[1]flota_lineas_tp!$A$1:$F$65536,6,FALSE)</f>
        <v>4.22</v>
      </c>
      <c r="D186" s="1">
        <v>7022</v>
      </c>
      <c r="E186" s="3">
        <f>VLOOKUP("h2-bus"&amp;"-"&amp;D186,[1]flota_lineas_tp!$A$1:$F$65536,6,FALSE)</f>
        <v>9.3800000000000008</v>
      </c>
      <c r="G186" s="1">
        <v>7022</v>
      </c>
      <c r="H186" s="3">
        <f>VLOOKUP("bus"&amp;"-"&amp;G186,[2]flota_lineas_tp!$A$1:$D$2000,4,FALSE)</f>
        <v>5.17</v>
      </c>
      <c r="J186" s="1">
        <v>7022</v>
      </c>
      <c r="K186" s="1">
        <f>VLOOKUP("bus"&amp;"-"&amp;J186,[3]flota_lineas_tp!$A$1:$D$2000,4,FALSE)</f>
        <v>4.3899999999999997</v>
      </c>
      <c r="M186" s="1">
        <v>7022</v>
      </c>
    </row>
    <row r="187" spans="1:13" x14ac:dyDescent="0.2">
      <c r="A187" s="1">
        <v>7031</v>
      </c>
      <c r="B187" s="3">
        <f>VLOOKUP("h1-bus"&amp;"-"&amp;A187,[1]flota_lineas_tp!$A$1:$F$65536,6,FALSE)</f>
        <v>3.46</v>
      </c>
      <c r="D187" s="1">
        <v>7031</v>
      </c>
      <c r="E187" s="3">
        <f>VLOOKUP("h2-bus"&amp;"-"&amp;D187,[1]flota_lineas_tp!$A$1:$F$65536,6,FALSE)</f>
        <v>5.37</v>
      </c>
      <c r="G187" s="1">
        <v>7031</v>
      </c>
      <c r="H187" s="3">
        <f>VLOOKUP("bus"&amp;"-"&amp;G187,[2]flota_lineas_tp!$A$1:$D$2000,4,FALSE)</f>
        <v>4.09</v>
      </c>
      <c r="J187" s="1">
        <v>7031</v>
      </c>
      <c r="K187" s="1">
        <f>VLOOKUP("bus"&amp;"-"&amp;J187,[3]flota_lineas_tp!$A$1:$D$2000,4,FALSE)</f>
        <v>4.09</v>
      </c>
      <c r="M187" s="1">
        <v>7031</v>
      </c>
    </row>
    <row r="188" spans="1:13" x14ac:dyDescent="0.2">
      <c r="A188" s="1">
        <v>7032</v>
      </c>
      <c r="B188" s="3">
        <f>VLOOKUP("h1-bus"&amp;"-"&amp;A188,[1]flota_lineas_tp!$A$1:$F$65536,6,FALSE)</f>
        <v>3.6</v>
      </c>
      <c r="D188" s="1">
        <v>7032</v>
      </c>
      <c r="E188" s="3">
        <f>VLOOKUP("h2-bus"&amp;"-"&amp;D188,[1]flota_lineas_tp!$A$1:$F$65536,6,FALSE)</f>
        <v>4.03</v>
      </c>
      <c r="G188" s="1">
        <v>7032</v>
      </c>
      <c r="H188" s="3">
        <f>VLOOKUP("bus"&amp;"-"&amp;G188,[2]flota_lineas_tp!$A$1:$D$2000,4,FALSE)</f>
        <v>3.81</v>
      </c>
      <c r="J188" s="1">
        <v>7032</v>
      </c>
      <c r="K188" s="1">
        <f>VLOOKUP("bus"&amp;"-"&amp;J188,[3]flota_lineas_tp!$A$1:$D$2000,4,FALSE)</f>
        <v>5.57</v>
      </c>
      <c r="M188" s="1">
        <v>7032</v>
      </c>
    </row>
    <row r="189" spans="1:13" x14ac:dyDescent="0.2">
      <c r="A189" s="1">
        <v>7041</v>
      </c>
      <c r="B189" s="3">
        <f>VLOOKUP("h1-bus"&amp;"-"&amp;A189,[1]flota_lineas_tp!$A$1:$F$65536,6,FALSE)</f>
        <v>3.28</v>
      </c>
      <c r="D189" s="1">
        <v>7041</v>
      </c>
      <c r="E189" s="3">
        <f>VLOOKUP("h2-bus"&amp;"-"&amp;D189,[1]flota_lineas_tp!$A$1:$F$65536,6,FALSE)</f>
        <v>8.43</v>
      </c>
      <c r="G189" s="1">
        <v>7041</v>
      </c>
      <c r="H189" s="3">
        <f>VLOOKUP("bus"&amp;"-"&amp;G189,[2]flota_lineas_tp!$A$1:$D$2000,4,FALSE)</f>
        <v>3.53</v>
      </c>
      <c r="J189" s="1">
        <v>7041</v>
      </c>
      <c r="K189" s="1">
        <f>VLOOKUP("bus"&amp;"-"&amp;J189,[3]flota_lineas_tp!$A$1:$D$2000,4,FALSE)</f>
        <v>4.82</v>
      </c>
      <c r="M189" s="1">
        <v>7041</v>
      </c>
    </row>
    <row r="190" spans="1:13" x14ac:dyDescent="0.2">
      <c r="A190" s="1">
        <v>7042</v>
      </c>
      <c r="B190" s="3">
        <f>VLOOKUP("h1-bus"&amp;"-"&amp;A190,[1]flota_lineas_tp!$A$1:$F$65536,6,FALSE)</f>
        <v>1.3</v>
      </c>
      <c r="D190" s="1">
        <v>7042</v>
      </c>
      <c r="E190" s="3">
        <f>VLOOKUP("h2-bus"&amp;"-"&amp;D190,[1]flota_lineas_tp!$A$1:$F$65536,6,FALSE)</f>
        <v>3.35</v>
      </c>
      <c r="G190" s="1">
        <v>7042</v>
      </c>
      <c r="H190" s="3">
        <f>VLOOKUP("bus"&amp;"-"&amp;G190,[2]flota_lineas_tp!$A$1:$D$2000,4,FALSE)</f>
        <v>2.71</v>
      </c>
      <c r="J190" s="1">
        <v>7042</v>
      </c>
      <c r="K190" s="1">
        <f>VLOOKUP("bus"&amp;"-"&amp;J190,[3]flota_lineas_tp!$A$1:$D$2000,4,FALSE)</f>
        <v>8.99</v>
      </c>
      <c r="M190" s="1">
        <v>7042</v>
      </c>
    </row>
    <row r="191" spans="1:13" x14ac:dyDescent="0.2">
      <c r="A191" s="1">
        <v>7051</v>
      </c>
      <c r="B191" s="3">
        <f>VLOOKUP("h1-bus"&amp;"-"&amp;A191,[1]flota_lineas_tp!$A$1:$F$65536,6,FALSE)</f>
        <v>5.15</v>
      </c>
      <c r="D191" s="1">
        <v>7051</v>
      </c>
      <c r="E191" s="3">
        <f>VLOOKUP("h2-bus"&amp;"-"&amp;D191,[1]flota_lineas_tp!$A$1:$F$65536,6,FALSE)</f>
        <v>5.09</v>
      </c>
      <c r="G191" s="1">
        <v>7051</v>
      </c>
      <c r="H191" s="3">
        <f>VLOOKUP("bus"&amp;"-"&amp;G191,[2]flota_lineas_tp!$A$1:$D$2000,4,FALSE)</f>
        <v>5.08</v>
      </c>
      <c r="J191" s="1">
        <v>7051</v>
      </c>
      <c r="K191" s="1">
        <f>VLOOKUP("bus"&amp;"-"&amp;J191,[3]flota_lineas_tp!$A$1:$D$2000,4,FALSE)</f>
        <v>7.25</v>
      </c>
      <c r="M191" s="1">
        <v>7051</v>
      </c>
    </row>
    <row r="192" spans="1:13" x14ac:dyDescent="0.2">
      <c r="A192" s="1">
        <v>7052</v>
      </c>
      <c r="B192" s="3">
        <f>VLOOKUP("h1-bus"&amp;"-"&amp;A192,[1]flota_lineas_tp!$A$1:$F$65536,6,FALSE)</f>
        <v>3.47</v>
      </c>
      <c r="D192" s="1">
        <v>7052</v>
      </c>
      <c r="E192" s="3">
        <f>VLOOKUP("h2-bus"&amp;"-"&amp;D192,[1]flota_lineas_tp!$A$1:$F$65536,6,FALSE)</f>
        <v>6.89</v>
      </c>
      <c r="G192" s="1">
        <v>7052</v>
      </c>
      <c r="H192" s="3">
        <f>VLOOKUP("bus"&amp;"-"&amp;G192,[2]flota_lineas_tp!$A$1:$D$2000,4,FALSE)</f>
        <v>5.22</v>
      </c>
      <c r="J192" s="1">
        <v>7052</v>
      </c>
      <c r="K192" s="1">
        <f>VLOOKUP("bus"&amp;"-"&amp;J192,[3]flota_lineas_tp!$A$1:$D$2000,4,FALSE)</f>
        <v>3.29</v>
      </c>
      <c r="M192" s="1">
        <v>7052</v>
      </c>
    </row>
    <row r="193" spans="1:13" x14ac:dyDescent="0.2">
      <c r="A193" s="1">
        <v>7061</v>
      </c>
      <c r="B193" s="3">
        <f>VLOOKUP("h1-bus"&amp;"-"&amp;A193,[1]flota_lineas_tp!$A$1:$F$65536,6,FALSE)</f>
        <v>3.48</v>
      </c>
      <c r="D193" s="1">
        <v>7061</v>
      </c>
      <c r="E193" s="3">
        <f>VLOOKUP("h2-bus"&amp;"-"&amp;D193,[1]flota_lineas_tp!$A$1:$F$65536,6,FALSE)</f>
        <v>6.95</v>
      </c>
      <c r="G193" s="1">
        <v>7061</v>
      </c>
      <c r="H193" s="3">
        <f>VLOOKUP("bus"&amp;"-"&amp;G193,[2]flota_lineas_tp!$A$1:$D$2000,4,FALSE)</f>
        <v>4.46</v>
      </c>
      <c r="J193" s="1">
        <v>7061</v>
      </c>
      <c r="K193" s="1">
        <f>VLOOKUP("bus"&amp;"-"&amp;J193,[3]flota_lineas_tp!$A$1:$D$2000,4,FALSE)</f>
        <v>4.42</v>
      </c>
      <c r="M193" s="1">
        <v>7061</v>
      </c>
    </row>
    <row r="194" spans="1:13" x14ac:dyDescent="0.2">
      <c r="A194" s="1">
        <v>7062</v>
      </c>
      <c r="B194" s="3">
        <f>VLOOKUP("h1-bus"&amp;"-"&amp;A194,[1]flota_lineas_tp!$A$1:$F$65536,6,FALSE)</f>
        <v>1.84</v>
      </c>
      <c r="D194" s="1">
        <v>7062</v>
      </c>
      <c r="E194" s="3">
        <f>VLOOKUP("h2-bus"&amp;"-"&amp;D194,[1]flota_lineas_tp!$A$1:$F$65536,6,FALSE)</f>
        <v>4.37</v>
      </c>
      <c r="G194" s="1">
        <v>7062</v>
      </c>
      <c r="H194" s="3">
        <f>VLOOKUP("bus"&amp;"-"&amp;G194,[2]flota_lineas_tp!$A$1:$D$2000,4,FALSE)</f>
        <v>4.4800000000000004</v>
      </c>
      <c r="J194" s="1">
        <v>7062</v>
      </c>
      <c r="K194" s="1">
        <f>VLOOKUP("bus"&amp;"-"&amp;J194,[3]flota_lineas_tp!$A$1:$D$2000,4,FALSE)</f>
        <v>4.99</v>
      </c>
      <c r="M194" s="1">
        <v>7062</v>
      </c>
    </row>
    <row r="195" spans="1:13" x14ac:dyDescent="0.2">
      <c r="A195" s="1">
        <v>7071</v>
      </c>
      <c r="B195" s="3">
        <f>VLOOKUP("h1-bus"&amp;"-"&amp;A195,[1]flota_lineas_tp!$A$1:$F$65536,6,FALSE)</f>
        <v>1.91</v>
      </c>
      <c r="D195" s="1">
        <v>7071</v>
      </c>
      <c r="E195" s="3">
        <f>VLOOKUP("h2-bus"&amp;"-"&amp;D195,[1]flota_lineas_tp!$A$1:$F$65536,6,FALSE)</f>
        <v>2.12</v>
      </c>
      <c r="G195" s="1">
        <v>7071</v>
      </c>
      <c r="H195" s="3">
        <f>VLOOKUP("bus"&amp;"-"&amp;G195,[2]flota_lineas_tp!$A$1:$D$2000,4,FALSE)</f>
        <v>2.66</v>
      </c>
      <c r="J195" s="1">
        <v>7071</v>
      </c>
      <c r="K195" s="1">
        <f>VLOOKUP("bus"&amp;"-"&amp;J195,[3]flota_lineas_tp!$A$1:$D$2000,4,FALSE)</f>
        <v>2.95</v>
      </c>
      <c r="M195" s="1">
        <v>7071</v>
      </c>
    </row>
    <row r="196" spans="1:13" x14ac:dyDescent="0.2">
      <c r="A196" s="1">
        <v>7072</v>
      </c>
      <c r="B196" s="3">
        <f>VLOOKUP("h1-bus"&amp;"-"&amp;A196,[1]flota_lineas_tp!$A$1:$F$65536,6,FALSE)</f>
        <v>0.6</v>
      </c>
      <c r="D196" s="1">
        <v>7072</v>
      </c>
      <c r="E196" s="3">
        <f>VLOOKUP("h2-bus"&amp;"-"&amp;D196,[1]flota_lineas_tp!$A$1:$F$65536,6,FALSE)</f>
        <v>2.4900000000000002</v>
      </c>
      <c r="G196" s="1">
        <v>7072</v>
      </c>
      <c r="H196" s="3">
        <f>VLOOKUP("bus"&amp;"-"&amp;G196,[2]flota_lineas_tp!$A$1:$D$2000,4,FALSE)</f>
        <v>2.48</v>
      </c>
      <c r="J196" s="1">
        <v>7072</v>
      </c>
      <c r="K196" s="1">
        <f>VLOOKUP("bus"&amp;"-"&amp;J196,[3]flota_lineas_tp!$A$1:$D$2000,4,FALSE)</f>
        <v>3.12</v>
      </c>
      <c r="M196" s="1">
        <v>7072</v>
      </c>
    </row>
    <row r="197" spans="1:13" x14ac:dyDescent="0.2">
      <c r="A197" s="1">
        <v>7081</v>
      </c>
      <c r="B197" s="3">
        <f>VLOOKUP("h1-bus"&amp;"-"&amp;A197,[1]flota_lineas_tp!$A$1:$F$65536,6,FALSE)</f>
        <v>2.5499999999999998</v>
      </c>
      <c r="D197" s="1">
        <v>7081</v>
      </c>
      <c r="E197" s="3">
        <f>VLOOKUP("h2-bus"&amp;"-"&amp;D197,[1]flota_lineas_tp!$A$1:$F$65536,6,FALSE)</f>
        <v>3.7</v>
      </c>
      <c r="G197" s="1">
        <v>7081</v>
      </c>
      <c r="H197" s="3">
        <f>VLOOKUP("bus"&amp;"-"&amp;G197,[2]flota_lineas_tp!$A$1:$D$2000,4,FALSE)</f>
        <v>2.58</v>
      </c>
      <c r="J197" s="1">
        <v>7081</v>
      </c>
      <c r="K197" s="1">
        <f>VLOOKUP("bus"&amp;"-"&amp;J197,[3]flota_lineas_tp!$A$1:$D$2000,4,FALSE)</f>
        <v>2.62</v>
      </c>
      <c r="M197" s="1">
        <v>7081</v>
      </c>
    </row>
    <row r="198" spans="1:13" x14ac:dyDescent="0.2">
      <c r="A198" s="1">
        <v>7082</v>
      </c>
      <c r="B198" s="3">
        <f>VLOOKUP("h1-bus"&amp;"-"&amp;A198,[1]flota_lineas_tp!$A$1:$F$65536,6,FALSE)</f>
        <v>0.98</v>
      </c>
      <c r="D198" s="1">
        <v>7082</v>
      </c>
      <c r="E198" s="3">
        <f>VLOOKUP("h2-bus"&amp;"-"&amp;D198,[1]flota_lineas_tp!$A$1:$F$65536,6,FALSE)</f>
        <v>1.81</v>
      </c>
      <c r="G198" s="1">
        <v>7082</v>
      </c>
      <c r="H198" s="3">
        <f>VLOOKUP("bus"&amp;"-"&amp;G198,[2]flota_lineas_tp!$A$1:$D$2000,4,FALSE)</f>
        <v>2.37</v>
      </c>
      <c r="J198" s="1">
        <v>7082</v>
      </c>
      <c r="K198" s="1">
        <f>VLOOKUP("bus"&amp;"-"&amp;J198,[3]flota_lineas_tp!$A$1:$D$2000,4,FALSE)</f>
        <v>2.88</v>
      </c>
      <c r="M198" s="1">
        <v>7082</v>
      </c>
    </row>
    <row r="199" spans="1:13" x14ac:dyDescent="0.2">
      <c r="A199" s="1">
        <v>9011</v>
      </c>
      <c r="B199" s="3">
        <f>VLOOKUP("h1-bus"&amp;"-"&amp;A199,[1]flota_lineas_tp!$A$1:$F$65536,6,FALSE)</f>
        <v>9.32</v>
      </c>
      <c r="D199" s="1">
        <v>9011</v>
      </c>
      <c r="E199" s="3">
        <f>VLOOKUP("h2-bus"&amp;"-"&amp;D199,[1]flota_lineas_tp!$A$1:$F$65536,6,FALSE)</f>
        <v>11.48</v>
      </c>
      <c r="G199" s="1">
        <v>9011</v>
      </c>
      <c r="H199" s="3">
        <f>VLOOKUP("bus"&amp;"-"&amp;G199,[2]flota_lineas_tp!$A$1:$D$2000,4,FALSE)</f>
        <v>9.98</v>
      </c>
      <c r="J199" s="1">
        <v>9011</v>
      </c>
      <c r="K199" s="1">
        <f>VLOOKUP("bus"&amp;"-"&amp;J199,[3]flota_lineas_tp!$A$1:$D$2000,4,FALSE)</f>
        <v>9.59</v>
      </c>
      <c r="M199" s="1">
        <v>9011</v>
      </c>
    </row>
    <row r="200" spans="1:13" x14ac:dyDescent="0.2">
      <c r="A200" s="1">
        <v>9012</v>
      </c>
      <c r="B200" s="3">
        <f>VLOOKUP("h1-bus"&amp;"-"&amp;A200,[1]flota_lineas_tp!$A$1:$F$65536,6,FALSE)</f>
        <v>10.32</v>
      </c>
      <c r="D200" s="1">
        <v>9012</v>
      </c>
      <c r="E200" s="3">
        <f>VLOOKUP("h2-bus"&amp;"-"&amp;D200,[1]flota_lineas_tp!$A$1:$F$65536,6,FALSE)</f>
        <v>14.22</v>
      </c>
      <c r="G200" s="1">
        <v>9012</v>
      </c>
      <c r="H200" s="3">
        <f>VLOOKUP("bus"&amp;"-"&amp;G200,[2]flota_lineas_tp!$A$1:$D$2000,4,FALSE)</f>
        <v>9.75</v>
      </c>
      <c r="J200" s="1">
        <v>9012</v>
      </c>
      <c r="K200" s="1">
        <f>VLOOKUP("bus"&amp;"-"&amp;J200,[3]flota_lineas_tp!$A$1:$D$2000,4,FALSE)</f>
        <v>9.01</v>
      </c>
      <c r="M200" s="1">
        <v>9012</v>
      </c>
    </row>
    <row r="201" spans="1:13" x14ac:dyDescent="0.2">
      <c r="A201" s="1">
        <v>9021</v>
      </c>
      <c r="B201" s="3">
        <f>VLOOKUP("h1-bus"&amp;"-"&amp;A201,[1]flota_lineas_tp!$A$1:$F$65536,6,FALSE)</f>
        <v>2.94</v>
      </c>
      <c r="D201" s="1">
        <v>9021</v>
      </c>
      <c r="E201" s="3">
        <f>VLOOKUP("h2-bus"&amp;"-"&amp;D201,[1]flota_lineas_tp!$A$1:$F$65536,6,FALSE)</f>
        <v>5.17</v>
      </c>
      <c r="G201" s="1">
        <v>9021</v>
      </c>
      <c r="H201" s="3">
        <f>VLOOKUP("bus"&amp;"-"&amp;G201,[2]flota_lineas_tp!$A$1:$D$2000,4,FALSE)</f>
        <v>2.57</v>
      </c>
      <c r="J201" s="1">
        <v>9021</v>
      </c>
      <c r="K201" s="1">
        <f>VLOOKUP("bus"&amp;"-"&amp;J201,[3]flota_lineas_tp!$A$1:$D$2000,4,FALSE)</f>
        <v>4.8600000000000003</v>
      </c>
      <c r="M201" s="1">
        <v>9021</v>
      </c>
    </row>
    <row r="202" spans="1:13" x14ac:dyDescent="0.2">
      <c r="A202" s="1">
        <v>9022</v>
      </c>
      <c r="B202" s="3">
        <f>VLOOKUP("h1-bus"&amp;"-"&amp;A202,[1]flota_lineas_tp!$A$1:$F$65536,6,FALSE)</f>
        <v>3.32</v>
      </c>
      <c r="D202" s="1">
        <v>9022</v>
      </c>
      <c r="E202" s="3">
        <f>VLOOKUP("h2-bus"&amp;"-"&amp;D202,[1]flota_lineas_tp!$A$1:$F$65536,6,FALSE)</f>
        <v>4.7</v>
      </c>
      <c r="G202" s="1">
        <v>9022</v>
      </c>
      <c r="H202" s="3">
        <f>VLOOKUP("bus"&amp;"-"&amp;G202,[2]flota_lineas_tp!$A$1:$D$2000,4,FALSE)</f>
        <v>3.39</v>
      </c>
      <c r="J202" s="1">
        <v>9022</v>
      </c>
      <c r="K202" s="1">
        <f>VLOOKUP("bus"&amp;"-"&amp;J202,[3]flota_lineas_tp!$A$1:$D$2000,4,FALSE)</f>
        <v>3.48</v>
      </c>
      <c r="M202" s="1">
        <v>9022</v>
      </c>
    </row>
    <row r="203" spans="1:13" x14ac:dyDescent="0.2">
      <c r="A203" s="1">
        <v>11</v>
      </c>
      <c r="B203" s="3">
        <f>VLOOKUP("h1-bus"&amp;"-"&amp;A203,[1]flota_lineas_tp!$A$1:$F$65536,6,FALSE)</f>
        <v>2.16</v>
      </c>
      <c r="D203" s="1">
        <v>11</v>
      </c>
      <c r="E203" s="3">
        <f>VLOOKUP("h2-bus"&amp;"-"&amp;D203,[1]flota_lineas_tp!$A$1:$F$65536,6,FALSE)</f>
        <v>4.8499999999999996</v>
      </c>
      <c r="G203" s="1">
        <v>11</v>
      </c>
      <c r="H203" s="3">
        <f>VLOOKUP("bus"&amp;"-"&amp;G203,[2]flota_lineas_tp!$A$1:$D$2000,4,FALSE)</f>
        <v>4.8600000000000003</v>
      </c>
      <c r="J203" s="1">
        <v>11</v>
      </c>
      <c r="K203" s="1">
        <f>VLOOKUP("bus"&amp;"-"&amp;J203,[3]flota_lineas_tp!$A$1:$D$2000,4,FALSE)</f>
        <v>4.09</v>
      </c>
      <c r="M203" s="1">
        <v>11</v>
      </c>
    </row>
    <row r="204" spans="1:13" x14ac:dyDescent="0.2">
      <c r="A204" s="1">
        <v>12</v>
      </c>
      <c r="B204" s="3">
        <f>VLOOKUP("h1-bus"&amp;"-"&amp;A204,[1]flota_lineas_tp!$A$1:$F$65536,6,FALSE)</f>
        <v>5.25</v>
      </c>
      <c r="D204" s="1">
        <v>12</v>
      </c>
      <c r="E204" s="3">
        <f>VLOOKUP("h2-bus"&amp;"-"&amp;D204,[1]flota_lineas_tp!$A$1:$F$65536,6,FALSE)</f>
        <v>6.85</v>
      </c>
      <c r="G204" s="1">
        <v>12</v>
      </c>
      <c r="H204" s="3">
        <f>VLOOKUP("bus"&amp;"-"&amp;G204,[2]flota_lineas_tp!$A$1:$D$2000,4,FALSE)</f>
        <v>4.93</v>
      </c>
      <c r="J204" s="1">
        <v>12</v>
      </c>
      <c r="K204" s="1">
        <f>VLOOKUP("bus"&amp;"-"&amp;J204,[3]flota_lineas_tp!$A$1:$D$2000,4,FALSE)</f>
        <v>6.33</v>
      </c>
      <c r="M204" s="1">
        <v>12</v>
      </c>
    </row>
    <row r="205" spans="1:13" x14ac:dyDescent="0.2">
      <c r="A205" s="1">
        <v>21</v>
      </c>
      <c r="B205" s="3">
        <f>VLOOKUP("h1-bus"&amp;"-"&amp;A205,[1]flota_lineas_tp!$A$1:$F$65536,6,FALSE)</f>
        <v>5.45</v>
      </c>
      <c r="D205" s="1">
        <v>21</v>
      </c>
      <c r="E205" s="3">
        <f>VLOOKUP("h2-bus"&amp;"-"&amp;D205,[1]flota_lineas_tp!$A$1:$F$65536,6,FALSE)</f>
        <v>7.07</v>
      </c>
      <c r="G205" s="1">
        <v>21</v>
      </c>
      <c r="H205" s="3">
        <f>VLOOKUP("bus"&amp;"-"&amp;G205,[2]flota_lineas_tp!$A$1:$D$2000,4,FALSE)</f>
        <v>4.67</v>
      </c>
      <c r="J205" s="1">
        <v>21</v>
      </c>
      <c r="K205" s="1">
        <f>VLOOKUP("bus"&amp;"-"&amp;J205,[3]flota_lineas_tp!$A$1:$D$2000,4,FALSE)</f>
        <v>4.25</v>
      </c>
      <c r="M205" s="1">
        <v>21</v>
      </c>
    </row>
    <row r="206" spans="1:13" x14ac:dyDescent="0.2">
      <c r="A206" s="1">
        <v>22</v>
      </c>
      <c r="B206" s="3">
        <f>VLOOKUP("h1-bus"&amp;"-"&amp;A206,[1]flota_lineas_tp!$A$1:$F$65536,6,FALSE)</f>
        <v>3.26</v>
      </c>
      <c r="D206" s="1">
        <v>22</v>
      </c>
      <c r="E206" s="3">
        <f>VLOOKUP("h2-bus"&amp;"-"&amp;D206,[1]flota_lineas_tp!$A$1:$F$65536,6,FALSE)</f>
        <v>6.38</v>
      </c>
      <c r="G206" s="1">
        <v>22</v>
      </c>
      <c r="H206" s="3">
        <f>VLOOKUP("bus"&amp;"-"&amp;G206,[2]flota_lineas_tp!$A$1:$D$2000,4,FALSE)</f>
        <v>4.75</v>
      </c>
      <c r="J206" s="1">
        <v>22</v>
      </c>
      <c r="K206" s="1">
        <f>VLOOKUP("bus"&amp;"-"&amp;J206,[3]flota_lineas_tp!$A$1:$D$2000,4,FALSE)</f>
        <v>4.84</v>
      </c>
      <c r="M206" s="1">
        <v>22</v>
      </c>
    </row>
    <row r="207" spans="1:13" x14ac:dyDescent="0.2">
      <c r="A207" s="1">
        <v>8021</v>
      </c>
      <c r="B207" s="3">
        <f>VLOOKUP("h1-bus"&amp;"-"&amp;A207,[1]flota_lineas_tp!$A$1:$F$65536,6,FALSE)</f>
        <v>3.03</v>
      </c>
      <c r="D207" s="1">
        <v>8021</v>
      </c>
      <c r="E207" s="3">
        <f>VLOOKUP("h2-bus"&amp;"-"&amp;D207,[1]flota_lineas_tp!$A$1:$F$65536,6,FALSE)</f>
        <v>3.53</v>
      </c>
      <c r="G207" s="1">
        <v>8021</v>
      </c>
      <c r="H207" s="3">
        <f>VLOOKUP("bus"&amp;"-"&amp;G207,[2]flota_lineas_tp!$A$1:$D$2000,4,FALSE)</f>
        <v>3.09</v>
      </c>
      <c r="J207" s="1">
        <v>8021</v>
      </c>
      <c r="K207" s="1">
        <f>VLOOKUP("bus"&amp;"-"&amp;J207,[3]flota_lineas_tp!$A$1:$D$2000,4,FALSE)</f>
        <v>2.94</v>
      </c>
      <c r="M207" s="1">
        <v>8021</v>
      </c>
    </row>
    <row r="208" spans="1:13" x14ac:dyDescent="0.2">
      <c r="A208" s="1">
        <v>8022</v>
      </c>
      <c r="B208" s="3">
        <f>VLOOKUP("h1-bus"&amp;"-"&amp;A208,[1]flota_lineas_tp!$A$1:$F$65536,6,FALSE)</f>
        <v>1.1000000000000001</v>
      </c>
      <c r="D208" s="1">
        <v>8022</v>
      </c>
      <c r="E208" s="3">
        <f>VLOOKUP("h2-bus"&amp;"-"&amp;D208,[1]flota_lineas_tp!$A$1:$F$65536,6,FALSE)</f>
        <v>2.4500000000000002</v>
      </c>
      <c r="G208" s="1">
        <v>8022</v>
      </c>
      <c r="H208" s="3">
        <f>VLOOKUP("bus"&amp;"-"&amp;G208,[2]flota_lineas_tp!$A$1:$D$2000,4,FALSE)</f>
        <v>3.06</v>
      </c>
      <c r="J208" s="1">
        <v>8022</v>
      </c>
      <c r="K208" s="1">
        <f>VLOOKUP("bus"&amp;"-"&amp;J208,[3]flota_lineas_tp!$A$1:$D$2000,4,FALSE)</f>
        <v>3.45</v>
      </c>
      <c r="M208" s="1">
        <v>8022</v>
      </c>
    </row>
    <row r="209" spans="1:13" x14ac:dyDescent="0.2">
      <c r="A209" s="1">
        <v>101</v>
      </c>
      <c r="B209" s="3">
        <f>VLOOKUP("h1-bus"&amp;"-"&amp;A209,[1]flota_lineas_tp!$A$1:$F$65536,6,FALSE)</f>
        <v>0.09</v>
      </c>
      <c r="D209" s="1">
        <v>101</v>
      </c>
      <c r="E209" s="3">
        <f>VLOOKUP("h2-bus"&amp;"-"&amp;D209,[1]flota_lineas_tp!$A$1:$F$65536,6,FALSE)</f>
        <v>0.09</v>
      </c>
      <c r="G209" s="1">
        <v>101</v>
      </c>
      <c r="H209" s="3">
        <f>VLOOKUP("bus"&amp;"-"&amp;G209,[2]flota_lineas_tp!$A$1:$D$2000,4,FALSE)</f>
        <v>7.0000000000000007E-2</v>
      </c>
      <c r="J209" s="1">
        <v>101</v>
      </c>
      <c r="K209" s="1">
        <f>VLOOKUP("bus"&amp;"-"&amp;J209,[3]flota_lineas_tp!$A$1:$D$2000,4,FALSE)</f>
        <v>0.09</v>
      </c>
      <c r="M209" s="1">
        <v>101</v>
      </c>
    </row>
    <row r="210" spans="1:13" x14ac:dyDescent="0.2">
      <c r="A210" s="1">
        <v>102</v>
      </c>
      <c r="B210" s="3">
        <f>VLOOKUP("h1-bus"&amp;"-"&amp;A210,[1]flota_lineas_tp!$A$1:$F$65536,6,FALSE)</f>
        <v>0.09</v>
      </c>
      <c r="D210" s="1">
        <v>102</v>
      </c>
      <c r="E210" s="3">
        <f>VLOOKUP("h2-bus"&amp;"-"&amp;D210,[1]flota_lineas_tp!$A$1:$F$65536,6,FALSE)</f>
        <v>0.09</v>
      </c>
      <c r="G210" s="1">
        <v>102</v>
      </c>
      <c r="H210" s="3">
        <f>VLOOKUP("bus"&amp;"-"&amp;G210,[2]flota_lineas_tp!$A$1:$D$2000,4,FALSE)</f>
        <v>7.0000000000000007E-2</v>
      </c>
      <c r="J210" s="1">
        <v>102</v>
      </c>
      <c r="K210" s="1">
        <f>VLOOKUP("bus"&amp;"-"&amp;J210,[3]flota_lineas_tp!$A$1:$D$2000,4,FALSE)</f>
        <v>0.09</v>
      </c>
      <c r="M210" s="1">
        <v>102</v>
      </c>
    </row>
    <row r="211" spans="1:13" x14ac:dyDescent="0.2">
      <c r="A211" s="1">
        <v>201</v>
      </c>
      <c r="B211" s="3">
        <f>VLOOKUP("h1-bus"&amp;"-"&amp;A211,[1]flota_lineas_tp!$A$1:$F$65536,6,FALSE)</f>
        <v>0.12</v>
      </c>
      <c r="D211" s="1">
        <v>201</v>
      </c>
      <c r="E211" s="3">
        <f>VLOOKUP("h2-bus"&amp;"-"&amp;D211,[1]flota_lineas_tp!$A$1:$F$65536,6,FALSE)</f>
        <v>0.12</v>
      </c>
      <c r="G211" s="1">
        <v>201</v>
      </c>
      <c r="H211" s="3">
        <f>VLOOKUP("bus"&amp;"-"&amp;G211,[2]flota_lineas_tp!$A$1:$D$2000,4,FALSE)</f>
        <v>0.09</v>
      </c>
      <c r="J211" s="1">
        <v>201</v>
      </c>
      <c r="K211" s="1">
        <f>VLOOKUP("bus"&amp;"-"&amp;J211,[3]flota_lineas_tp!$A$1:$D$2000,4,FALSE)</f>
        <v>0.12</v>
      </c>
      <c r="M211" s="1">
        <v>201</v>
      </c>
    </row>
    <row r="212" spans="1:13" x14ac:dyDescent="0.2">
      <c r="A212" s="1">
        <v>202</v>
      </c>
      <c r="B212" s="3">
        <f>VLOOKUP("h1-bus"&amp;"-"&amp;A212,[1]flota_lineas_tp!$A$1:$F$65536,6,FALSE)</f>
        <v>0.12</v>
      </c>
      <c r="D212" s="1">
        <v>202</v>
      </c>
      <c r="E212" s="3">
        <f>VLOOKUP("h2-bus"&amp;"-"&amp;D212,[1]flota_lineas_tp!$A$1:$F$65536,6,FALSE)</f>
        <v>0.12</v>
      </c>
      <c r="G212" s="1">
        <v>202</v>
      </c>
      <c r="H212" s="3">
        <f>VLOOKUP("bus"&amp;"-"&amp;G212,[2]flota_lineas_tp!$A$1:$D$2000,4,FALSE)</f>
        <v>0.09</v>
      </c>
      <c r="J212" s="1">
        <v>202</v>
      </c>
      <c r="K212" s="1">
        <f>VLOOKUP("bus"&amp;"-"&amp;J212,[3]flota_lineas_tp!$A$1:$D$2000,4,FALSE)</f>
        <v>0.12</v>
      </c>
      <c r="M212" s="1">
        <v>202</v>
      </c>
    </row>
    <row r="213" spans="1:13" x14ac:dyDescent="0.2">
      <c r="A213" s="1">
        <v>301</v>
      </c>
      <c r="B213" s="3">
        <f>VLOOKUP("h1-bus"&amp;"-"&amp;A213,[1]flota_lineas_tp!$A$1:$F$65536,6,FALSE)</f>
        <v>0.08</v>
      </c>
      <c r="D213" s="1">
        <v>301</v>
      </c>
      <c r="E213" s="3">
        <f>VLOOKUP("h2-bus"&amp;"-"&amp;D213,[1]flota_lineas_tp!$A$1:$F$65536,6,FALSE)</f>
        <v>0.08</v>
      </c>
      <c r="G213" s="1">
        <v>301</v>
      </c>
      <c r="H213" s="3">
        <f>VLOOKUP("bus"&amp;"-"&amp;G213,[2]flota_lineas_tp!$A$1:$D$2000,4,FALSE)</f>
        <v>0.06</v>
      </c>
      <c r="J213" s="1">
        <v>301</v>
      </c>
      <c r="K213" s="1">
        <f>VLOOKUP("bus"&amp;"-"&amp;J213,[3]flota_lineas_tp!$A$1:$D$2000,4,FALSE)</f>
        <v>0.08</v>
      </c>
      <c r="M213" s="1">
        <v>301</v>
      </c>
    </row>
    <row r="214" spans="1:13" x14ac:dyDescent="0.2">
      <c r="A214" s="1">
        <v>302</v>
      </c>
      <c r="B214" s="3">
        <f>VLOOKUP("h1-bus"&amp;"-"&amp;A214,[1]flota_lineas_tp!$A$1:$F$65536,6,FALSE)</f>
        <v>0.08</v>
      </c>
      <c r="D214" s="1">
        <v>302</v>
      </c>
      <c r="E214" s="3">
        <f>VLOOKUP("h2-bus"&amp;"-"&amp;D214,[1]flota_lineas_tp!$A$1:$F$65536,6,FALSE)</f>
        <v>0.08</v>
      </c>
      <c r="G214" s="1">
        <v>302</v>
      </c>
      <c r="H214" s="3">
        <f>VLOOKUP("bus"&amp;"-"&amp;G214,[2]flota_lineas_tp!$A$1:$D$2000,4,FALSE)</f>
        <v>0.06</v>
      </c>
      <c r="J214" s="1">
        <v>302</v>
      </c>
      <c r="K214" s="1">
        <f>VLOOKUP("bus"&amp;"-"&amp;J214,[3]flota_lineas_tp!$A$1:$D$2000,4,FALSE)</f>
        <v>0.08</v>
      </c>
      <c r="M214" s="1">
        <v>302</v>
      </c>
    </row>
    <row r="215" spans="1:13" x14ac:dyDescent="0.2">
      <c r="A215" s="1">
        <v>401</v>
      </c>
      <c r="B215" s="3">
        <f>VLOOKUP("h1-bus"&amp;"-"&amp;A215,[1]flota_lineas_tp!$A$1:$F$65536,6,FALSE)</f>
        <v>0.12</v>
      </c>
      <c r="D215" s="1">
        <v>401</v>
      </c>
      <c r="E215" s="3">
        <f>VLOOKUP("h2-bus"&amp;"-"&amp;D215,[1]flota_lineas_tp!$A$1:$F$65536,6,FALSE)</f>
        <v>0.12</v>
      </c>
      <c r="G215" s="1">
        <v>401</v>
      </c>
      <c r="H215" s="3">
        <f>VLOOKUP("bus"&amp;"-"&amp;G215,[2]flota_lineas_tp!$A$1:$D$2000,4,FALSE)</f>
        <v>7.0000000000000007E-2</v>
      </c>
      <c r="J215" s="1">
        <v>401</v>
      </c>
      <c r="K215" s="1">
        <f>VLOOKUP("bus"&amp;"-"&amp;J215,[3]flota_lineas_tp!$A$1:$D$2000,4,FALSE)</f>
        <v>0.12</v>
      </c>
      <c r="M215" s="1">
        <v>401</v>
      </c>
    </row>
    <row r="216" spans="1:13" x14ac:dyDescent="0.2">
      <c r="A216" s="1">
        <v>402</v>
      </c>
      <c r="B216" s="3">
        <f>VLOOKUP("h1-bus"&amp;"-"&amp;A216,[1]flota_lineas_tp!$A$1:$F$65536,6,FALSE)</f>
        <v>0.12</v>
      </c>
      <c r="D216" s="1">
        <v>402</v>
      </c>
      <c r="E216" s="3">
        <f>VLOOKUP("h2-bus"&amp;"-"&amp;D216,[1]flota_lineas_tp!$A$1:$F$65536,6,FALSE)</f>
        <v>0.12</v>
      </c>
      <c r="G216" s="1">
        <v>402</v>
      </c>
      <c r="H216" s="3">
        <f>VLOOKUP("bus"&amp;"-"&amp;G216,[2]flota_lineas_tp!$A$1:$D$2000,4,FALSE)</f>
        <v>7.0000000000000007E-2</v>
      </c>
      <c r="J216" s="1">
        <v>402</v>
      </c>
      <c r="K216" s="1">
        <f>VLOOKUP("bus"&amp;"-"&amp;J216,[3]flota_lineas_tp!$A$1:$D$2000,4,FALSE)</f>
        <v>0.12</v>
      </c>
      <c r="M216" s="1">
        <v>402</v>
      </c>
    </row>
    <row r="217" spans="1:13" x14ac:dyDescent="0.2">
      <c r="A217" s="1">
        <v>501</v>
      </c>
      <c r="B217" s="3">
        <f>VLOOKUP("h1-bus"&amp;"-"&amp;A217,[1]flota_lineas_tp!$A$1:$F$65536,6,FALSE)</f>
        <v>0.16</v>
      </c>
      <c r="D217" s="1">
        <v>501</v>
      </c>
      <c r="E217" s="3">
        <f>VLOOKUP("h2-bus"&amp;"-"&amp;D217,[1]flota_lineas_tp!$A$1:$F$65536,6,FALSE)</f>
        <v>0.16</v>
      </c>
      <c r="G217" s="1">
        <v>501</v>
      </c>
      <c r="H217" s="3">
        <f>VLOOKUP("bus"&amp;"-"&amp;G217,[2]flota_lineas_tp!$A$1:$D$2000,4,FALSE)</f>
        <v>0.11</v>
      </c>
      <c r="J217" s="1">
        <v>501</v>
      </c>
      <c r="K217" s="1">
        <f>VLOOKUP("bus"&amp;"-"&amp;J217,[3]flota_lineas_tp!$A$1:$D$2000,4,FALSE)</f>
        <v>0.16</v>
      </c>
      <c r="M217" s="1">
        <v>501</v>
      </c>
    </row>
    <row r="218" spans="1:13" x14ac:dyDescent="0.2">
      <c r="A218" s="1">
        <v>502</v>
      </c>
      <c r="B218" s="3">
        <f>VLOOKUP("h1-bus"&amp;"-"&amp;A218,[1]flota_lineas_tp!$A$1:$F$65536,6,FALSE)</f>
        <v>0.16</v>
      </c>
      <c r="D218" s="1">
        <v>502</v>
      </c>
      <c r="E218" s="3">
        <f>VLOOKUP("h2-bus"&amp;"-"&amp;D218,[1]flota_lineas_tp!$A$1:$F$65536,6,FALSE)</f>
        <v>0.16</v>
      </c>
      <c r="G218" s="1">
        <v>502</v>
      </c>
      <c r="H218" s="3">
        <f>VLOOKUP("bus"&amp;"-"&amp;G218,[2]flota_lineas_tp!$A$1:$D$2000,4,FALSE)</f>
        <v>0.11</v>
      </c>
      <c r="J218" s="1">
        <v>502</v>
      </c>
      <c r="K218" s="1">
        <f>VLOOKUP("bus"&amp;"-"&amp;J218,[3]flota_lineas_tp!$A$1:$D$2000,4,FALSE)</f>
        <v>0.16</v>
      </c>
      <c r="M218" s="1">
        <v>502</v>
      </c>
    </row>
    <row r="219" spans="1:13" x14ac:dyDescent="0.2">
      <c r="A219" s="1">
        <v>601</v>
      </c>
      <c r="B219" s="3">
        <f>VLOOKUP("h1-bus"&amp;"-"&amp;A219,[1]flota_lineas_tp!$A$1:$F$65536,6,FALSE)</f>
        <v>0.17</v>
      </c>
      <c r="D219" s="1">
        <v>601</v>
      </c>
      <c r="E219" s="3">
        <f>VLOOKUP("h2-bus"&amp;"-"&amp;D219,[1]flota_lineas_tp!$A$1:$F$65536,6,FALSE)</f>
        <v>0.17</v>
      </c>
      <c r="G219" s="1">
        <v>601</v>
      </c>
      <c r="H219" s="3">
        <f>VLOOKUP("bus"&amp;"-"&amp;G219,[2]flota_lineas_tp!$A$1:$D$2000,4,FALSE)</f>
        <v>0.09</v>
      </c>
      <c r="J219" s="1">
        <v>601</v>
      </c>
      <c r="K219" s="1">
        <f>VLOOKUP("bus"&amp;"-"&amp;J219,[3]flota_lineas_tp!$A$1:$D$2000,4,FALSE)</f>
        <v>0.17</v>
      </c>
      <c r="M219" s="1">
        <v>601</v>
      </c>
    </row>
    <row r="220" spans="1:13" x14ac:dyDescent="0.2">
      <c r="A220" s="1">
        <v>602</v>
      </c>
      <c r="B220" s="3">
        <f>VLOOKUP("h1-bus"&amp;"-"&amp;A220,[1]flota_lineas_tp!$A$1:$F$65536,6,FALSE)</f>
        <v>0.17</v>
      </c>
      <c r="D220" s="1">
        <v>602</v>
      </c>
      <c r="E220" s="3">
        <f>VLOOKUP("h2-bus"&amp;"-"&amp;D220,[1]flota_lineas_tp!$A$1:$F$65536,6,FALSE)</f>
        <v>0.17</v>
      </c>
      <c r="G220" s="1">
        <v>602</v>
      </c>
      <c r="H220" s="3">
        <f>VLOOKUP("bus"&amp;"-"&amp;G220,[2]flota_lineas_tp!$A$1:$D$2000,4,FALSE)</f>
        <v>0.09</v>
      </c>
      <c r="J220" s="1">
        <v>602</v>
      </c>
      <c r="K220" s="1">
        <f>VLOOKUP("bus"&amp;"-"&amp;J220,[3]flota_lineas_tp!$A$1:$D$2000,4,FALSE)</f>
        <v>0.17</v>
      </c>
      <c r="M220" s="1">
        <v>602</v>
      </c>
    </row>
    <row r="221" spans="1:13" x14ac:dyDescent="0.2">
      <c r="A221" s="1">
        <v>701</v>
      </c>
      <c r="B221" s="3">
        <f>VLOOKUP("h1-bus"&amp;"-"&amp;A221,[1]flota_lineas_tp!$A$1:$F$65536,6,FALSE)</f>
        <v>7.0000000000000007E-2</v>
      </c>
      <c r="D221" s="1">
        <v>701</v>
      </c>
      <c r="E221" s="3">
        <f>VLOOKUP("h2-bus"&amp;"-"&amp;D221,[1]flota_lineas_tp!$A$1:$F$65536,6,FALSE)</f>
        <v>7.0000000000000007E-2</v>
      </c>
      <c r="G221" s="1">
        <v>701</v>
      </c>
      <c r="H221" s="3">
        <f>VLOOKUP("bus"&amp;"-"&amp;G221,[2]flota_lineas_tp!$A$1:$D$2000,4,FALSE)</f>
        <v>0.05</v>
      </c>
      <c r="J221" s="1">
        <v>701</v>
      </c>
      <c r="K221" s="1">
        <f>VLOOKUP("bus"&amp;"-"&amp;J221,[3]flota_lineas_tp!$A$1:$D$2000,4,FALSE)</f>
        <v>7.0000000000000007E-2</v>
      </c>
      <c r="M221" s="1">
        <v>701</v>
      </c>
    </row>
    <row r="222" spans="1:13" x14ac:dyDescent="0.2">
      <c r="A222" s="1">
        <v>702</v>
      </c>
      <c r="B222" s="3">
        <f>VLOOKUP("h1-bus"&amp;"-"&amp;A222,[1]flota_lineas_tp!$A$1:$F$65536,6,FALSE)</f>
        <v>7.0000000000000007E-2</v>
      </c>
      <c r="D222" s="1">
        <v>702</v>
      </c>
      <c r="E222" s="3">
        <f>VLOOKUP("h2-bus"&amp;"-"&amp;D222,[1]flota_lineas_tp!$A$1:$F$65536,6,FALSE)</f>
        <v>7.0000000000000007E-2</v>
      </c>
      <c r="G222" s="1">
        <v>702</v>
      </c>
      <c r="H222" s="3">
        <f>VLOOKUP("bus"&amp;"-"&amp;G222,[2]flota_lineas_tp!$A$1:$D$2000,4,FALSE)</f>
        <v>0.05</v>
      </c>
      <c r="J222" s="1">
        <v>702</v>
      </c>
      <c r="K222" s="1">
        <f>VLOOKUP("bus"&amp;"-"&amp;J222,[3]flota_lineas_tp!$A$1:$D$2000,4,FALSE)</f>
        <v>7.0000000000000007E-2</v>
      </c>
      <c r="M222" s="1">
        <v>702</v>
      </c>
    </row>
    <row r="223" spans="1:13" x14ac:dyDescent="0.2">
      <c r="A223" s="1">
        <v>801</v>
      </c>
      <c r="B223" s="3">
        <f>VLOOKUP("h1-bus"&amp;"-"&amp;A223,[1]flota_lineas_tp!$A$1:$F$65536,6,FALSE)</f>
        <v>0.09</v>
      </c>
      <c r="D223" s="1">
        <v>801</v>
      </c>
      <c r="E223" s="3">
        <f>VLOOKUP("h2-bus"&amp;"-"&amp;D223,[1]flota_lineas_tp!$A$1:$F$65536,6,FALSE)</f>
        <v>0.09</v>
      </c>
      <c r="G223" s="1">
        <v>801</v>
      </c>
      <c r="H223" s="3">
        <f>VLOOKUP("bus"&amp;"-"&amp;G223,[2]flota_lineas_tp!$A$1:$D$2000,4,FALSE)</f>
        <v>7.0000000000000007E-2</v>
      </c>
      <c r="J223" s="1">
        <v>801</v>
      </c>
      <c r="K223" s="1">
        <f>VLOOKUP("bus"&amp;"-"&amp;J223,[3]flota_lineas_tp!$A$1:$D$2000,4,FALSE)</f>
        <v>0.09</v>
      </c>
      <c r="M223" s="1">
        <v>801</v>
      </c>
    </row>
    <row r="224" spans="1:13" x14ac:dyDescent="0.2">
      <c r="A224" s="1">
        <v>802</v>
      </c>
      <c r="B224" s="3">
        <f>VLOOKUP("h1-bus"&amp;"-"&amp;A224,[1]flota_lineas_tp!$A$1:$F$65536,6,FALSE)</f>
        <v>0.09</v>
      </c>
      <c r="D224" s="1">
        <v>802</v>
      </c>
      <c r="E224" s="3">
        <f>VLOOKUP("h2-bus"&amp;"-"&amp;D224,[1]flota_lineas_tp!$A$1:$F$65536,6,FALSE)</f>
        <v>0.09</v>
      </c>
      <c r="G224" s="1">
        <v>802</v>
      </c>
      <c r="H224" s="3">
        <f>VLOOKUP("bus"&amp;"-"&amp;G224,[2]flota_lineas_tp!$A$1:$D$2000,4,FALSE)</f>
        <v>7.0000000000000007E-2</v>
      </c>
      <c r="J224" s="1">
        <v>802</v>
      </c>
      <c r="K224" s="1">
        <f>VLOOKUP("bus"&amp;"-"&amp;J224,[3]flota_lineas_tp!$A$1:$D$2000,4,FALSE)</f>
        <v>0.09</v>
      </c>
      <c r="M224" s="1">
        <v>802</v>
      </c>
    </row>
  </sheetData>
  <mergeCells count="5">
    <mergeCell ref="G1:H1"/>
    <mergeCell ref="J1:K1"/>
    <mergeCell ref="M1:N1"/>
    <mergeCell ref="D1:E1"/>
    <mergeCell ref="A1:B1"/>
  </mergeCell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363"/>
  <sheetViews>
    <sheetView workbookViewId="0">
      <selection activeCell="K3" sqref="K3:K363"/>
    </sheetView>
  </sheetViews>
  <sheetFormatPr baseColWidth="10" defaultRowHeight="12" x14ac:dyDescent="0.2"/>
  <cols>
    <col min="1" max="16384" width="11.42578125" style="1"/>
  </cols>
  <sheetData>
    <row r="1" spans="1:14" ht="15" customHeight="1" x14ac:dyDescent="0.2">
      <c r="A1" s="10" t="s">
        <v>2</v>
      </c>
      <c r="B1" s="10"/>
      <c r="D1" s="10" t="s">
        <v>3</v>
      </c>
      <c r="E1" s="10"/>
      <c r="G1" s="10" t="s">
        <v>4</v>
      </c>
      <c r="H1" s="10"/>
      <c r="J1" s="10" t="s">
        <v>5</v>
      </c>
      <c r="K1" s="10"/>
      <c r="M1" s="10" t="s">
        <v>6</v>
      </c>
      <c r="N1" s="10"/>
    </row>
    <row r="2" spans="1:14" x14ac:dyDescent="0.2">
      <c r="A2" s="2" t="s">
        <v>0</v>
      </c>
      <c r="B2" s="2" t="s">
        <v>1</v>
      </c>
      <c r="D2" s="2" t="s">
        <v>0</v>
      </c>
      <c r="E2" s="2" t="s">
        <v>1</v>
      </c>
      <c r="G2" s="2" t="s">
        <v>0</v>
      </c>
      <c r="H2" s="2" t="s">
        <v>1</v>
      </c>
      <c r="J2" s="2" t="s">
        <v>0</v>
      </c>
      <c r="K2" s="2" t="s">
        <v>1</v>
      </c>
      <c r="M2" s="2" t="s">
        <v>0</v>
      </c>
      <c r="N2" s="2" t="s">
        <v>1</v>
      </c>
    </row>
    <row r="3" spans="1:14" x14ac:dyDescent="0.2">
      <c r="A3" s="1">
        <v>101</v>
      </c>
      <c r="B3" s="3">
        <f>VLOOKUP("h1-txc"&amp;"-"&amp;A3,[1]flota_lineas_tp!$A$1:$F$65536,6,FALSE)</f>
        <v>10.66</v>
      </c>
      <c r="D3" s="1">
        <v>101</v>
      </c>
      <c r="E3" s="3">
        <f>VLOOKUP("h2-txc"&amp;"-"&amp;D3,[1]flota_lineas_tp!$A$1:$F$65536,6,FALSE)</f>
        <v>19.14</v>
      </c>
      <c r="G3" s="1">
        <v>101</v>
      </c>
      <c r="H3" s="3">
        <f>VLOOKUP("txc"&amp;"-"&amp;G3,[2]flota_lineas_tp!$A$1:$D$2000,4,FALSE)</f>
        <v>3</v>
      </c>
      <c r="J3" s="1">
        <v>101</v>
      </c>
      <c r="K3" s="1">
        <f>VLOOKUP("txc"&amp;"-"&amp;J3,[3]flota_lineas_tp!$A$1:$D$2000,4,FALSE)</f>
        <v>0.68</v>
      </c>
      <c r="M3" s="1">
        <v>101</v>
      </c>
    </row>
    <row r="4" spans="1:14" x14ac:dyDescent="0.2">
      <c r="A4" s="1">
        <v>102</v>
      </c>
      <c r="B4" s="3">
        <f>VLOOKUP("h1-txc"&amp;"-"&amp;A4,[1]flota_lineas_tp!$A$1:$F$65536,6,FALSE)</f>
        <v>0.28000000000000003</v>
      </c>
      <c r="D4" s="1">
        <v>102</v>
      </c>
      <c r="E4" s="3">
        <f>VLOOKUP("h2-txc"&amp;"-"&amp;D4,[1]flota_lineas_tp!$A$1:$F$65536,6,FALSE)</f>
        <v>1.05</v>
      </c>
      <c r="G4" s="1">
        <v>102</v>
      </c>
      <c r="H4" s="3">
        <f>VLOOKUP("txc"&amp;"-"&amp;G4,[2]flota_lineas_tp!$A$1:$D$2000,4,FALSE)</f>
        <v>0.3</v>
      </c>
      <c r="J4" s="1">
        <v>102</v>
      </c>
      <c r="K4" s="1">
        <f>VLOOKUP("txc"&amp;"-"&amp;J4,[3]flota_lineas_tp!$A$1:$D$2000,4,FALSE)</f>
        <v>1.79</v>
      </c>
      <c r="M4" s="1">
        <v>102</v>
      </c>
    </row>
    <row r="5" spans="1:14" x14ac:dyDescent="0.2">
      <c r="A5" s="1">
        <v>1011</v>
      </c>
      <c r="B5" s="3">
        <f>VLOOKUP("h1-txc"&amp;"-"&amp;A5,[1]flota_lineas_tp!$A$1:$F$65536,6,FALSE)</f>
        <v>0.72</v>
      </c>
      <c r="D5" s="1">
        <v>1011</v>
      </c>
      <c r="E5" s="3">
        <f>VLOOKUP("h2-txc"&amp;"-"&amp;D5,[1]flota_lineas_tp!$A$1:$F$65536,6,FALSE)</f>
        <v>1.1499999999999999</v>
      </c>
      <c r="G5" s="1">
        <v>1011</v>
      </c>
      <c r="H5" s="3">
        <f>VLOOKUP("txc"&amp;"-"&amp;G5,[2]flota_lineas_tp!$A$1:$D$2000,4,FALSE)</f>
        <v>0.52</v>
      </c>
      <c r="J5" s="1">
        <v>1011</v>
      </c>
      <c r="K5" s="1">
        <f>VLOOKUP("txc"&amp;"-"&amp;J5,[3]flota_lineas_tp!$A$1:$D$2000,4,FALSE)</f>
        <v>0.91</v>
      </c>
      <c r="M5" s="1">
        <v>1011</v>
      </c>
    </row>
    <row r="6" spans="1:14" x14ac:dyDescent="0.2">
      <c r="A6" s="1">
        <v>1012</v>
      </c>
      <c r="B6" s="3">
        <f>VLOOKUP("h1-txc"&amp;"-"&amp;A6,[1]flota_lineas_tp!$A$1:$F$65536,6,FALSE)</f>
        <v>0.1</v>
      </c>
      <c r="D6" s="1">
        <v>1012</v>
      </c>
      <c r="E6" s="3">
        <f>VLOOKUP("h2-txc"&amp;"-"&amp;D6,[1]flota_lineas_tp!$A$1:$F$65536,6,FALSE)</f>
        <v>0.12</v>
      </c>
      <c r="G6" s="1">
        <v>1012</v>
      </c>
      <c r="H6" s="3">
        <f>VLOOKUP("txc"&amp;"-"&amp;G6,[2]flota_lineas_tp!$A$1:$D$2000,4,FALSE)</f>
        <v>0.11</v>
      </c>
      <c r="J6" s="1">
        <v>1012</v>
      </c>
      <c r="K6" s="1">
        <f>VLOOKUP("txc"&amp;"-"&amp;J6,[3]flota_lineas_tp!$A$1:$D$2000,4,FALSE)</f>
        <v>0.35</v>
      </c>
      <c r="M6" s="1">
        <v>1012</v>
      </c>
    </row>
    <row r="7" spans="1:14" x14ac:dyDescent="0.2">
      <c r="A7" s="1">
        <v>1001</v>
      </c>
      <c r="B7" s="3">
        <f>VLOOKUP("h1-txc"&amp;"-"&amp;A7,[1]flota_lineas_tp!$A$1:$F$65536,6,FALSE)</f>
        <v>0.63</v>
      </c>
      <c r="D7" s="1">
        <v>1001</v>
      </c>
      <c r="E7" s="3">
        <f>VLOOKUP("h2-txc"&amp;"-"&amp;D7,[1]flota_lineas_tp!$A$1:$F$65536,6,FALSE)</f>
        <v>1.19</v>
      </c>
      <c r="G7" s="1">
        <v>1001</v>
      </c>
      <c r="H7" s="3">
        <f>VLOOKUP("txc"&amp;"-"&amp;G7,[2]flota_lineas_tp!$A$1:$D$2000,4,FALSE)</f>
        <v>0.56999999999999995</v>
      </c>
      <c r="J7" s="1">
        <v>1001</v>
      </c>
      <c r="K7" s="1">
        <f>VLOOKUP("txc"&amp;"-"&amp;J7,[3]flota_lineas_tp!$A$1:$D$2000,4,FALSE)</f>
        <v>1.2</v>
      </c>
      <c r="M7" s="1">
        <v>1001</v>
      </c>
    </row>
    <row r="8" spans="1:14" x14ac:dyDescent="0.2">
      <c r="A8" s="1">
        <v>1002</v>
      </c>
      <c r="B8" s="3">
        <f>VLOOKUP("h1-txc"&amp;"-"&amp;A8,[1]flota_lineas_tp!$A$1:$F$65536,6,FALSE)</f>
        <v>0.15</v>
      </c>
      <c r="D8" s="1">
        <v>1002</v>
      </c>
      <c r="E8" s="3">
        <f>VLOOKUP("h2-txc"&amp;"-"&amp;D8,[1]flota_lineas_tp!$A$1:$F$65536,6,FALSE)</f>
        <v>2.91</v>
      </c>
      <c r="G8" s="1">
        <v>1002</v>
      </c>
      <c r="H8" s="3">
        <f>VLOOKUP("txc"&amp;"-"&amp;G8,[2]flota_lineas_tp!$A$1:$D$2000,4,FALSE)</f>
        <v>2.57</v>
      </c>
      <c r="J8" s="1">
        <v>1002</v>
      </c>
      <c r="K8" s="1">
        <f>VLOOKUP("txc"&amp;"-"&amp;J8,[3]flota_lineas_tp!$A$1:$D$2000,4,FALSE)</f>
        <v>2.68</v>
      </c>
      <c r="M8" s="1">
        <v>1002</v>
      </c>
    </row>
    <row r="9" spans="1:14" x14ac:dyDescent="0.2">
      <c r="A9" s="1">
        <v>1021</v>
      </c>
      <c r="B9" s="3">
        <f>VLOOKUP("h1-txc"&amp;"-"&amp;A9,[1]flota_lineas_tp!$A$1:$F$65536,6,FALSE)</f>
        <v>0.36</v>
      </c>
      <c r="D9" s="1">
        <v>1021</v>
      </c>
      <c r="E9" s="3">
        <f>VLOOKUP("h2-txc"&amp;"-"&amp;D9,[1]flota_lineas_tp!$A$1:$F$65536,6,FALSE)</f>
        <v>0.47</v>
      </c>
      <c r="G9" s="1">
        <v>1021</v>
      </c>
      <c r="H9" s="3">
        <f>VLOOKUP("txc"&amp;"-"&amp;G9,[2]flota_lineas_tp!$A$1:$D$2000,4,FALSE)</f>
        <v>0.36</v>
      </c>
      <c r="J9" s="1">
        <v>1021</v>
      </c>
      <c r="K9" s="1">
        <f>VLOOKUP("txc"&amp;"-"&amp;J9,[3]flota_lineas_tp!$A$1:$D$2000,4,FALSE)</f>
        <v>0.38</v>
      </c>
      <c r="M9" s="1">
        <v>1021</v>
      </c>
    </row>
    <row r="10" spans="1:14" x14ac:dyDescent="0.2">
      <c r="A10" s="1">
        <v>1022</v>
      </c>
      <c r="B10" s="3">
        <f>VLOOKUP("h1-txc"&amp;"-"&amp;A10,[1]flota_lineas_tp!$A$1:$F$65536,6,FALSE)</f>
        <v>1.85</v>
      </c>
      <c r="D10" s="1">
        <v>1022</v>
      </c>
      <c r="E10" s="3">
        <f>VLOOKUP("h2-txc"&amp;"-"&amp;D10,[1]flota_lineas_tp!$A$1:$F$65536,6,FALSE)</f>
        <v>1.04</v>
      </c>
      <c r="G10" s="1">
        <v>1022</v>
      </c>
      <c r="H10" s="3">
        <f>VLOOKUP("txc"&amp;"-"&amp;G10,[2]flota_lineas_tp!$A$1:$D$2000,4,FALSE)</f>
        <v>1.73</v>
      </c>
      <c r="J10" s="1">
        <v>1022</v>
      </c>
      <c r="K10" s="1">
        <f>VLOOKUP("txc"&amp;"-"&amp;J10,[3]flota_lineas_tp!$A$1:$D$2000,4,FALSE)</f>
        <v>1.1200000000000001</v>
      </c>
      <c r="M10" s="1">
        <v>1022</v>
      </c>
    </row>
    <row r="11" spans="1:14" x14ac:dyDescent="0.2">
      <c r="A11" s="1">
        <v>10001</v>
      </c>
      <c r="B11" s="3">
        <f>VLOOKUP("h1-txc"&amp;"-"&amp;A11,[1]flota_lineas_tp!$A$1:$F$65536,6,FALSE)</f>
        <v>3.53</v>
      </c>
      <c r="D11" s="1">
        <v>10001</v>
      </c>
      <c r="E11" s="3">
        <f>VLOOKUP("h2-txc"&amp;"-"&amp;D11,[1]flota_lineas_tp!$A$1:$F$65536,6,FALSE)</f>
        <v>4.1900000000000004</v>
      </c>
      <c r="G11" s="1">
        <v>10001</v>
      </c>
      <c r="H11" s="3">
        <f>VLOOKUP("txc"&amp;"-"&amp;G11,[2]flota_lineas_tp!$A$1:$D$2000,4,FALSE)</f>
        <v>4.79</v>
      </c>
      <c r="J11" s="1">
        <v>10001</v>
      </c>
      <c r="K11" s="1">
        <f>VLOOKUP("txc"&amp;"-"&amp;J11,[3]flota_lineas_tp!$A$1:$D$2000,4,FALSE)</f>
        <v>4.55</v>
      </c>
      <c r="M11" s="1">
        <v>10001</v>
      </c>
    </row>
    <row r="12" spans="1:14" x14ac:dyDescent="0.2">
      <c r="A12" s="1">
        <v>10002</v>
      </c>
      <c r="B12" s="3">
        <f>VLOOKUP("h1-txc"&amp;"-"&amp;A12,[1]flota_lineas_tp!$A$1:$F$65536,6,FALSE)</f>
        <v>6.82</v>
      </c>
      <c r="D12" s="1">
        <v>10002</v>
      </c>
      <c r="E12" s="3">
        <f>VLOOKUP("h2-txc"&amp;"-"&amp;D12,[1]flota_lineas_tp!$A$1:$F$65536,6,FALSE)</f>
        <v>0.5</v>
      </c>
      <c r="G12" s="1">
        <v>10002</v>
      </c>
      <c r="H12" s="3">
        <f>VLOOKUP("txc"&amp;"-"&amp;G12,[2]flota_lineas_tp!$A$1:$D$2000,4,FALSE)</f>
        <v>0.47</v>
      </c>
      <c r="J12" s="1">
        <v>10002</v>
      </c>
      <c r="K12" s="1">
        <f>VLOOKUP("txc"&amp;"-"&amp;J12,[3]flota_lineas_tp!$A$1:$D$2000,4,FALSE)</f>
        <v>12.1</v>
      </c>
      <c r="M12" s="1">
        <v>10002</v>
      </c>
    </row>
    <row r="13" spans="1:14" x14ac:dyDescent="0.2">
      <c r="A13" s="1">
        <v>10011</v>
      </c>
      <c r="B13" s="3">
        <f>VLOOKUP("h1-txc"&amp;"-"&amp;A13,[1]flota_lineas_tp!$A$1:$F$65536,6,FALSE)</f>
        <v>0.38</v>
      </c>
      <c r="D13" s="1">
        <v>10011</v>
      </c>
      <c r="E13" s="3">
        <f>VLOOKUP("h2-txc"&amp;"-"&amp;D13,[1]flota_lineas_tp!$A$1:$F$65536,6,FALSE)</f>
        <v>0.42</v>
      </c>
      <c r="G13" s="1">
        <v>10011</v>
      </c>
      <c r="H13" s="3">
        <f>VLOOKUP("txc"&amp;"-"&amp;G13,[2]flota_lineas_tp!$A$1:$D$2000,4,FALSE)</f>
        <v>0.38</v>
      </c>
      <c r="J13" s="1">
        <v>10011</v>
      </c>
      <c r="K13" s="1">
        <f>VLOOKUP("txc"&amp;"-"&amp;J13,[3]flota_lineas_tp!$A$1:$D$2000,4,FALSE)</f>
        <v>25.43</v>
      </c>
      <c r="M13" s="1">
        <v>10011</v>
      </c>
    </row>
    <row r="14" spans="1:14" x14ac:dyDescent="0.2">
      <c r="A14" s="1">
        <v>10012</v>
      </c>
      <c r="B14" s="3">
        <f>VLOOKUP("h1-txc"&amp;"-"&amp;A14,[1]flota_lineas_tp!$A$1:$F$65536,6,FALSE)</f>
        <v>5.36</v>
      </c>
      <c r="D14" s="1">
        <v>10012</v>
      </c>
      <c r="E14" s="3">
        <f>VLOOKUP("h2-txc"&amp;"-"&amp;D14,[1]flota_lineas_tp!$A$1:$F$65536,6,FALSE)</f>
        <v>14.22</v>
      </c>
      <c r="G14" s="1">
        <v>10012</v>
      </c>
      <c r="H14" s="3">
        <f>VLOOKUP("txc"&amp;"-"&amp;G14,[2]flota_lineas_tp!$A$1:$D$2000,4,FALSE)</f>
        <v>12.25</v>
      </c>
      <c r="J14" s="1">
        <v>10012</v>
      </c>
      <c r="K14" s="1">
        <f>VLOOKUP("txc"&amp;"-"&amp;J14,[3]flota_lineas_tp!$A$1:$D$2000,4,FALSE)</f>
        <v>13.18</v>
      </c>
      <c r="M14" s="1">
        <v>10012</v>
      </c>
    </row>
    <row r="15" spans="1:14" x14ac:dyDescent="0.2">
      <c r="A15" s="1">
        <v>10211</v>
      </c>
      <c r="B15" s="3">
        <f>VLOOKUP("h1-txc"&amp;"-"&amp;A15,[1]flota_lineas_tp!$A$1:$F$65536,6,FALSE)</f>
        <v>0.21</v>
      </c>
      <c r="D15" s="1">
        <v>10211</v>
      </c>
      <c r="E15" s="3">
        <f>VLOOKUP("h2-txc"&amp;"-"&amp;D15,[1]flota_lineas_tp!$A$1:$F$65536,6,FALSE)</f>
        <v>1.49</v>
      </c>
      <c r="G15" s="1">
        <v>10211</v>
      </c>
      <c r="H15" s="3">
        <f>VLOOKUP("txc"&amp;"-"&amp;G15,[2]flota_lineas_tp!$A$1:$D$2000,4,FALSE)</f>
        <v>2.44</v>
      </c>
      <c r="J15" s="1">
        <v>10211</v>
      </c>
      <c r="K15" s="1">
        <f>VLOOKUP("txc"&amp;"-"&amp;J15,[3]flota_lineas_tp!$A$1:$D$2000,4,FALSE)</f>
        <v>3.24</v>
      </c>
      <c r="M15" s="1">
        <v>10211</v>
      </c>
    </row>
    <row r="16" spans="1:14" x14ac:dyDescent="0.2">
      <c r="A16" s="1">
        <v>10212</v>
      </c>
      <c r="B16" s="3">
        <f>VLOOKUP("h1-txc"&amp;"-"&amp;A16,[1]flota_lineas_tp!$A$1:$F$65536,6,FALSE)</f>
        <v>0.13</v>
      </c>
      <c r="D16" s="1">
        <v>10212</v>
      </c>
      <c r="E16" s="3">
        <f>VLOOKUP("h2-txc"&amp;"-"&amp;D16,[1]flota_lineas_tp!$A$1:$F$65536,6,FALSE)</f>
        <v>1.03</v>
      </c>
      <c r="G16" s="1">
        <v>10212</v>
      </c>
      <c r="H16" s="3">
        <f>VLOOKUP("txc"&amp;"-"&amp;G16,[2]flota_lineas_tp!$A$1:$D$2000,4,FALSE)</f>
        <v>1.59</v>
      </c>
      <c r="J16" s="1">
        <v>10212</v>
      </c>
      <c r="K16" s="1">
        <f>VLOOKUP("txc"&amp;"-"&amp;J16,[3]flota_lineas_tp!$A$1:$D$2000,4,FALSE)</f>
        <v>1.96</v>
      </c>
      <c r="M16" s="1">
        <v>10212</v>
      </c>
    </row>
    <row r="17" spans="1:13" x14ac:dyDescent="0.2">
      <c r="A17" s="1">
        <v>10201</v>
      </c>
      <c r="B17" s="3">
        <f>VLOOKUP("h1-txc"&amp;"-"&amp;A17,[1]flota_lineas_tp!$A$1:$F$65536,6,FALSE)</f>
        <v>0.12</v>
      </c>
      <c r="D17" s="1">
        <v>10201</v>
      </c>
      <c r="E17" s="3">
        <f>VLOOKUP("h2-txc"&amp;"-"&amp;D17,[1]flota_lineas_tp!$A$1:$F$65536,6,FALSE)</f>
        <v>0.86</v>
      </c>
      <c r="G17" s="1">
        <v>10201</v>
      </c>
      <c r="H17" s="3">
        <f>VLOOKUP("txc"&amp;"-"&amp;G17,[2]flota_lineas_tp!$A$1:$D$2000,4,FALSE)</f>
        <v>1.24</v>
      </c>
      <c r="J17" s="1">
        <v>10201</v>
      </c>
      <c r="K17" s="1">
        <f>VLOOKUP("txc"&amp;"-"&amp;J17,[3]flota_lineas_tp!$A$1:$D$2000,4,FALSE)</f>
        <v>1.87</v>
      </c>
      <c r="M17" s="1">
        <v>10201</v>
      </c>
    </row>
    <row r="18" spans="1:13" x14ac:dyDescent="0.2">
      <c r="A18" s="1">
        <v>10202</v>
      </c>
      <c r="B18" s="3">
        <f>VLOOKUP("h1-txc"&amp;"-"&amp;A18,[1]flota_lineas_tp!$A$1:$F$65536,6,FALSE)</f>
        <v>0.14000000000000001</v>
      </c>
      <c r="D18" s="1">
        <v>10202</v>
      </c>
      <c r="E18" s="3">
        <f>VLOOKUP("h2-txc"&amp;"-"&amp;D18,[1]flota_lineas_tp!$A$1:$F$65536,6,FALSE)</f>
        <v>1.18</v>
      </c>
      <c r="G18" s="1">
        <v>10202</v>
      </c>
      <c r="H18" s="3">
        <f>VLOOKUP("txc"&amp;"-"&amp;G18,[2]flota_lineas_tp!$A$1:$D$2000,4,FALSE)</f>
        <v>1.7</v>
      </c>
      <c r="J18" s="1">
        <v>10202</v>
      </c>
      <c r="K18" s="1">
        <f>VLOOKUP("txc"&amp;"-"&amp;J18,[3]flota_lineas_tp!$A$1:$D$2000,4,FALSE)</f>
        <v>2.11</v>
      </c>
      <c r="M18" s="1">
        <v>10202</v>
      </c>
    </row>
    <row r="19" spans="1:13" x14ac:dyDescent="0.2">
      <c r="A19" s="1">
        <v>10501</v>
      </c>
      <c r="B19" s="3">
        <f>VLOOKUP("h1-txc"&amp;"-"&amp;A19,[1]flota_lineas_tp!$A$1:$F$65536,6,FALSE)</f>
        <v>0.49</v>
      </c>
      <c r="D19" s="1">
        <v>10501</v>
      </c>
      <c r="E19" s="3">
        <f>VLOOKUP("h2-txc"&amp;"-"&amp;D19,[1]flota_lineas_tp!$A$1:$F$65536,6,FALSE)</f>
        <v>3.81</v>
      </c>
      <c r="G19" s="1">
        <v>10501</v>
      </c>
      <c r="H19" s="3">
        <f>VLOOKUP("txc"&amp;"-"&amp;G19,[2]flota_lineas_tp!$A$1:$D$2000,4,FALSE)</f>
        <v>0.33</v>
      </c>
      <c r="J19" s="1">
        <v>10501</v>
      </c>
      <c r="K19" s="1">
        <f>VLOOKUP("txc"&amp;"-"&amp;J19,[3]flota_lineas_tp!$A$1:$D$2000,4,FALSE)</f>
        <v>0.32</v>
      </c>
      <c r="M19" s="1">
        <v>10501</v>
      </c>
    </row>
    <row r="20" spans="1:13" x14ac:dyDescent="0.2">
      <c r="A20" s="1">
        <v>10502</v>
      </c>
      <c r="B20" s="3">
        <f>VLOOKUP("h1-txc"&amp;"-"&amp;A20,[1]flota_lineas_tp!$A$1:$F$65536,6,FALSE)</f>
        <v>0.49</v>
      </c>
      <c r="D20" s="1">
        <v>10502</v>
      </c>
      <c r="E20" s="3">
        <f>VLOOKUP("h2-txc"&amp;"-"&amp;D20,[1]flota_lineas_tp!$A$1:$F$65536,6,FALSE)</f>
        <v>0.55000000000000004</v>
      </c>
      <c r="G20" s="1">
        <v>10502</v>
      </c>
      <c r="H20" s="3">
        <f>VLOOKUP("txc"&amp;"-"&amp;G20,[2]flota_lineas_tp!$A$1:$D$2000,4,FALSE)</f>
        <v>0.52</v>
      </c>
      <c r="J20" s="1">
        <v>10502</v>
      </c>
      <c r="K20" s="1">
        <f>VLOOKUP("txc"&amp;"-"&amp;J20,[3]flota_lineas_tp!$A$1:$D$2000,4,FALSE)</f>
        <v>1.67</v>
      </c>
      <c r="M20" s="1">
        <v>10502</v>
      </c>
    </row>
    <row r="21" spans="1:13" x14ac:dyDescent="0.2">
      <c r="A21" s="1">
        <v>10611</v>
      </c>
      <c r="B21" s="3">
        <f>VLOOKUP("h1-txc"&amp;"-"&amp;A21,[1]flota_lineas_tp!$A$1:$F$65536,6,FALSE)</f>
        <v>0.19</v>
      </c>
      <c r="D21" s="1">
        <v>10611</v>
      </c>
      <c r="E21" s="3">
        <f>VLOOKUP("h2-txc"&amp;"-"&amp;D21,[1]flota_lineas_tp!$A$1:$F$65536,6,FALSE)</f>
        <v>2.75</v>
      </c>
      <c r="G21" s="1">
        <v>10611</v>
      </c>
      <c r="H21" s="3">
        <f>VLOOKUP("txc"&amp;"-"&amp;G21,[2]flota_lineas_tp!$A$1:$D$2000,4,FALSE)</f>
        <v>0.19</v>
      </c>
      <c r="J21" s="1">
        <v>10611</v>
      </c>
      <c r="K21" s="1">
        <f>VLOOKUP("txc"&amp;"-"&amp;J21,[3]flota_lineas_tp!$A$1:$D$2000,4,FALSE)</f>
        <v>0.42</v>
      </c>
      <c r="M21" s="1">
        <v>10611</v>
      </c>
    </row>
    <row r="22" spans="1:13" x14ac:dyDescent="0.2">
      <c r="A22" s="1">
        <v>10612</v>
      </c>
      <c r="B22" s="3">
        <f>VLOOKUP("h1-txc"&amp;"-"&amp;A22,[1]flota_lineas_tp!$A$1:$F$65536,6,FALSE)</f>
        <v>0.13</v>
      </c>
      <c r="D22" s="1">
        <v>10612</v>
      </c>
      <c r="E22" s="3">
        <f>VLOOKUP("h2-txc"&amp;"-"&amp;D22,[1]flota_lineas_tp!$A$1:$F$65536,6,FALSE)</f>
        <v>0.13</v>
      </c>
      <c r="G22" s="1">
        <v>10612</v>
      </c>
      <c r="H22" s="3">
        <f>VLOOKUP("txc"&amp;"-"&amp;G22,[2]flota_lineas_tp!$A$1:$D$2000,4,FALSE)</f>
        <v>0.13</v>
      </c>
      <c r="J22" s="1">
        <v>10612</v>
      </c>
      <c r="K22" s="1">
        <f>VLOOKUP("txc"&amp;"-"&amp;J22,[3]flota_lineas_tp!$A$1:$D$2000,4,FALSE)</f>
        <v>1.91</v>
      </c>
      <c r="M22" s="1">
        <v>10612</v>
      </c>
    </row>
    <row r="23" spans="1:13" x14ac:dyDescent="0.2">
      <c r="A23" s="1">
        <v>10601</v>
      </c>
      <c r="B23" s="3">
        <f>VLOOKUP("h1-txc"&amp;"-"&amp;A23,[1]flota_lineas_tp!$A$1:$F$65536,6,FALSE)</f>
        <v>17.63</v>
      </c>
      <c r="D23" s="1">
        <v>10601</v>
      </c>
      <c r="E23" s="3">
        <f>VLOOKUP("h2-txc"&amp;"-"&amp;D23,[1]flota_lineas_tp!$A$1:$F$65536,6,FALSE)</f>
        <v>20.65</v>
      </c>
      <c r="G23" s="1">
        <v>10601</v>
      </c>
      <c r="H23" s="3">
        <f>VLOOKUP("txc"&amp;"-"&amp;G23,[2]flota_lineas_tp!$A$1:$D$2000,4,FALSE)</f>
        <v>12.98</v>
      </c>
      <c r="J23" s="1">
        <v>10601</v>
      </c>
      <c r="K23" s="1">
        <f>VLOOKUP("txc"&amp;"-"&amp;J23,[3]flota_lineas_tp!$A$1:$D$2000,4,FALSE)</f>
        <v>9.9</v>
      </c>
      <c r="M23" s="1">
        <v>10601</v>
      </c>
    </row>
    <row r="24" spans="1:13" x14ac:dyDescent="0.2">
      <c r="A24" s="1">
        <v>10602</v>
      </c>
      <c r="B24" s="3">
        <f>VLOOKUP("h1-txc"&amp;"-"&amp;A24,[1]flota_lineas_tp!$A$1:$F$65536,6,FALSE)</f>
        <v>0.63</v>
      </c>
      <c r="D24" s="1">
        <v>10602</v>
      </c>
      <c r="E24" s="3">
        <f>VLOOKUP("h2-txc"&amp;"-"&amp;D24,[1]flota_lineas_tp!$A$1:$F$65536,6,FALSE)</f>
        <v>0.77</v>
      </c>
      <c r="G24" s="1">
        <v>10602</v>
      </c>
      <c r="H24" s="3">
        <f>VLOOKUP("txc"&amp;"-"&amp;G24,[2]flota_lineas_tp!$A$1:$D$2000,4,FALSE)</f>
        <v>5.14</v>
      </c>
      <c r="J24" s="1">
        <v>10602</v>
      </c>
      <c r="K24" s="1">
        <f>VLOOKUP("txc"&amp;"-"&amp;J24,[3]flota_lineas_tp!$A$1:$D$2000,4,FALSE)</f>
        <v>18.16</v>
      </c>
      <c r="M24" s="1">
        <v>10602</v>
      </c>
    </row>
    <row r="25" spans="1:13" x14ac:dyDescent="0.2">
      <c r="A25" s="1">
        <v>10701</v>
      </c>
      <c r="B25" s="3">
        <f>VLOOKUP("h1-txc"&amp;"-"&amp;A25,[1]flota_lineas_tp!$A$1:$F$65536,6,FALSE)</f>
        <v>0.31</v>
      </c>
      <c r="D25" s="1">
        <v>10701</v>
      </c>
      <c r="E25" s="3">
        <f>VLOOKUP("h2-txc"&amp;"-"&amp;D25,[1]flota_lineas_tp!$A$1:$F$65536,6,FALSE)</f>
        <v>0.35</v>
      </c>
      <c r="G25" s="1">
        <v>10701</v>
      </c>
      <c r="H25" s="3">
        <f>VLOOKUP("txc"&amp;"-"&amp;G25,[2]flota_lineas_tp!$A$1:$D$2000,4,FALSE)</f>
        <v>1.29</v>
      </c>
      <c r="J25" s="1">
        <v>10701</v>
      </c>
      <c r="K25" s="1">
        <f>VLOOKUP("txc"&amp;"-"&amp;J25,[3]flota_lineas_tp!$A$1:$D$2000,4,FALSE)</f>
        <v>1.03</v>
      </c>
      <c r="M25" s="1">
        <v>10701</v>
      </c>
    </row>
    <row r="26" spans="1:13" x14ac:dyDescent="0.2">
      <c r="A26" s="1">
        <v>10702</v>
      </c>
      <c r="B26" s="3">
        <f>VLOOKUP("h1-txc"&amp;"-"&amp;A26,[1]flota_lineas_tp!$A$1:$F$65536,6,FALSE)</f>
        <v>5.71</v>
      </c>
      <c r="D26" s="1">
        <v>10702</v>
      </c>
      <c r="E26" s="3">
        <f>VLOOKUP("h2-txc"&amp;"-"&amp;D26,[1]flota_lineas_tp!$A$1:$F$65536,6,FALSE)</f>
        <v>16.690000000000001</v>
      </c>
      <c r="G26" s="1">
        <v>10702</v>
      </c>
      <c r="H26" s="3">
        <f>VLOOKUP("txc"&amp;"-"&amp;G26,[2]flota_lineas_tp!$A$1:$D$2000,4,FALSE)</f>
        <v>4.29</v>
      </c>
      <c r="J26" s="1">
        <v>10702</v>
      </c>
      <c r="K26" s="1">
        <f>VLOOKUP("txc"&amp;"-"&amp;J26,[3]flota_lineas_tp!$A$1:$D$2000,4,FALSE)</f>
        <v>12.21</v>
      </c>
      <c r="M26" s="1">
        <v>10702</v>
      </c>
    </row>
    <row r="27" spans="1:13" x14ac:dyDescent="0.2">
      <c r="A27" s="1">
        <v>11601</v>
      </c>
      <c r="B27" s="3">
        <f>VLOOKUP("h1-txc"&amp;"-"&amp;A27,[1]flota_lineas_tp!$A$1:$F$65536,6,FALSE)</f>
        <v>0.28000000000000003</v>
      </c>
      <c r="D27" s="1">
        <v>11601</v>
      </c>
      <c r="E27" s="3">
        <f>VLOOKUP("h2-txc"&amp;"-"&amp;D27,[1]flota_lineas_tp!$A$1:$F$65536,6,FALSE)</f>
        <v>0.38</v>
      </c>
      <c r="G27" s="1">
        <v>11601</v>
      </c>
      <c r="H27" s="3">
        <f>VLOOKUP("txc"&amp;"-"&amp;G27,[2]flota_lineas_tp!$A$1:$D$2000,4,FALSE)</f>
        <v>0.28000000000000003</v>
      </c>
      <c r="J27" s="1">
        <v>11601</v>
      </c>
      <c r="K27" s="1">
        <f>VLOOKUP("txc"&amp;"-"&amp;J27,[3]flota_lineas_tp!$A$1:$D$2000,4,FALSE)</f>
        <v>0.28999999999999998</v>
      </c>
      <c r="M27" s="1">
        <v>11601</v>
      </c>
    </row>
    <row r="28" spans="1:13" x14ac:dyDescent="0.2">
      <c r="A28" s="1">
        <v>11602</v>
      </c>
      <c r="B28" s="3">
        <f>VLOOKUP("h1-txc"&amp;"-"&amp;A28,[1]flota_lineas_tp!$A$1:$F$65536,6,FALSE)</f>
        <v>0.44</v>
      </c>
      <c r="D28" s="1">
        <v>11602</v>
      </c>
      <c r="E28" s="3">
        <f>VLOOKUP("h2-txc"&amp;"-"&amp;D28,[1]flota_lineas_tp!$A$1:$F$65536,6,FALSE)</f>
        <v>0.53</v>
      </c>
      <c r="G28" s="1">
        <v>11602</v>
      </c>
      <c r="H28" s="3">
        <f>VLOOKUP("txc"&amp;"-"&amp;G28,[2]flota_lineas_tp!$A$1:$D$2000,4,FALSE)</f>
        <v>0.46</v>
      </c>
      <c r="J28" s="1">
        <v>11602</v>
      </c>
      <c r="K28" s="1">
        <f>VLOOKUP("txc"&amp;"-"&amp;J28,[3]flota_lineas_tp!$A$1:$D$2000,4,FALSE)</f>
        <v>6.23</v>
      </c>
      <c r="M28" s="1">
        <v>11602</v>
      </c>
    </row>
    <row r="29" spans="1:13" x14ac:dyDescent="0.2">
      <c r="A29" s="1">
        <v>11801</v>
      </c>
      <c r="B29" s="3">
        <f>VLOOKUP("h1-txc"&amp;"-"&amp;A29,[1]flota_lineas_tp!$A$1:$F$65536,6,FALSE)</f>
        <v>0.28999999999999998</v>
      </c>
      <c r="D29" s="1">
        <v>11801</v>
      </c>
      <c r="E29" s="3">
        <f>VLOOKUP("h2-txc"&amp;"-"&amp;D29,[1]flota_lineas_tp!$A$1:$F$65536,6,FALSE)</f>
        <v>0.57999999999999996</v>
      </c>
      <c r="G29" s="1">
        <v>11801</v>
      </c>
      <c r="H29" s="3">
        <f>VLOOKUP("txc"&amp;"-"&amp;G29,[2]flota_lineas_tp!$A$1:$D$2000,4,FALSE)</f>
        <v>0.28999999999999998</v>
      </c>
      <c r="J29" s="1">
        <v>11801</v>
      </c>
      <c r="K29" s="1">
        <f>VLOOKUP("txc"&amp;"-"&amp;J29,[3]flota_lineas_tp!$A$1:$D$2000,4,FALSE)</f>
        <v>0.3</v>
      </c>
      <c r="M29" s="1">
        <v>11801</v>
      </c>
    </row>
    <row r="30" spans="1:13" x14ac:dyDescent="0.2">
      <c r="A30" s="1">
        <v>11802</v>
      </c>
      <c r="B30" s="3">
        <f>VLOOKUP("h1-txc"&amp;"-"&amp;A30,[1]flota_lineas_tp!$A$1:$F$65536,6,FALSE)</f>
        <v>3.04</v>
      </c>
      <c r="D30" s="1">
        <v>11802</v>
      </c>
      <c r="E30" s="3">
        <f>VLOOKUP("h2-txc"&amp;"-"&amp;D30,[1]flota_lineas_tp!$A$1:$F$65536,6,FALSE)</f>
        <v>0.41</v>
      </c>
      <c r="G30" s="1">
        <v>11802</v>
      </c>
      <c r="H30" s="3">
        <f>VLOOKUP("txc"&amp;"-"&amp;G30,[2]flota_lineas_tp!$A$1:$D$2000,4,FALSE)</f>
        <v>10.62</v>
      </c>
      <c r="J30" s="1">
        <v>11802</v>
      </c>
      <c r="K30" s="1">
        <f>VLOOKUP("txc"&amp;"-"&amp;J30,[3]flota_lineas_tp!$A$1:$D$2000,4,FALSE)</f>
        <v>0.39</v>
      </c>
      <c r="M30" s="1">
        <v>11802</v>
      </c>
    </row>
    <row r="31" spans="1:13" x14ac:dyDescent="0.2">
      <c r="A31" s="1">
        <v>11901</v>
      </c>
      <c r="B31" s="3">
        <f>VLOOKUP("h1-txc"&amp;"-"&amp;A31,[1]flota_lineas_tp!$A$1:$F$65536,6,FALSE)</f>
        <v>0.41</v>
      </c>
      <c r="D31" s="1">
        <v>11901</v>
      </c>
      <c r="E31" s="3">
        <f>VLOOKUP("h2-txc"&amp;"-"&amp;D31,[1]flota_lineas_tp!$A$1:$F$65536,6,FALSE)</f>
        <v>0.63</v>
      </c>
      <c r="G31" s="1">
        <v>11901</v>
      </c>
      <c r="H31" s="3">
        <f>VLOOKUP("txc"&amp;"-"&amp;G31,[2]flota_lineas_tp!$A$1:$D$2000,4,FALSE)</f>
        <v>0.44</v>
      </c>
      <c r="J31" s="1">
        <v>11901</v>
      </c>
      <c r="K31" s="1">
        <f>VLOOKUP("txc"&amp;"-"&amp;J31,[3]flota_lineas_tp!$A$1:$D$2000,4,FALSE)</f>
        <v>0.48</v>
      </c>
      <c r="M31" s="1">
        <v>11901</v>
      </c>
    </row>
    <row r="32" spans="1:13" x14ac:dyDescent="0.2">
      <c r="A32" s="1">
        <v>11902</v>
      </c>
      <c r="B32" s="3">
        <f>VLOOKUP("h1-txc"&amp;"-"&amp;A32,[1]flota_lineas_tp!$A$1:$F$65536,6,FALSE)</f>
        <v>0.44</v>
      </c>
      <c r="D32" s="1">
        <v>11902</v>
      </c>
      <c r="E32" s="3">
        <f>VLOOKUP("h2-txc"&amp;"-"&amp;D32,[1]flota_lineas_tp!$A$1:$F$65536,6,FALSE)</f>
        <v>0.55000000000000004</v>
      </c>
      <c r="G32" s="1">
        <v>11902</v>
      </c>
      <c r="H32" s="3">
        <f>VLOOKUP("txc"&amp;"-"&amp;G32,[2]flota_lineas_tp!$A$1:$D$2000,4,FALSE)</f>
        <v>0.47</v>
      </c>
      <c r="J32" s="1">
        <v>11902</v>
      </c>
      <c r="K32" s="1">
        <f>VLOOKUP("txc"&amp;"-"&amp;J32,[3]flota_lineas_tp!$A$1:$D$2000,4,FALSE)</f>
        <v>0.49</v>
      </c>
      <c r="M32" s="1">
        <v>11902</v>
      </c>
    </row>
    <row r="33" spans="1:13" x14ac:dyDescent="0.2">
      <c r="A33" s="1">
        <v>1201</v>
      </c>
      <c r="B33" s="3">
        <f>VLOOKUP("h1-txc"&amp;"-"&amp;A33,[1]flota_lineas_tp!$A$1:$F$65536,6,FALSE)</f>
        <v>0.2</v>
      </c>
      <c r="D33" s="1">
        <v>1201</v>
      </c>
      <c r="E33" s="3">
        <f>VLOOKUP("h2-txc"&amp;"-"&amp;D33,[1]flota_lineas_tp!$A$1:$F$65536,6,FALSE)</f>
        <v>0.33</v>
      </c>
      <c r="G33" s="1">
        <v>1201</v>
      </c>
      <c r="H33" s="3">
        <f>VLOOKUP("txc"&amp;"-"&amp;G33,[2]flota_lineas_tp!$A$1:$D$2000,4,FALSE)</f>
        <v>0.2</v>
      </c>
      <c r="J33" s="1">
        <v>1201</v>
      </c>
      <c r="K33" s="1">
        <f>VLOOKUP("txc"&amp;"-"&amp;J33,[3]flota_lineas_tp!$A$1:$D$2000,4,FALSE)</f>
        <v>0.2</v>
      </c>
      <c r="M33" s="1">
        <v>1201</v>
      </c>
    </row>
    <row r="34" spans="1:13" x14ac:dyDescent="0.2">
      <c r="A34" s="1">
        <v>1202</v>
      </c>
      <c r="B34" s="3">
        <f>VLOOKUP("h1-txc"&amp;"-"&amp;A34,[1]flota_lineas_tp!$A$1:$F$65536,6,FALSE)</f>
        <v>1.05</v>
      </c>
      <c r="D34" s="1">
        <v>1202</v>
      </c>
      <c r="E34" s="3">
        <f>VLOOKUP("h2-txc"&amp;"-"&amp;D34,[1]flota_lineas_tp!$A$1:$F$65536,6,FALSE)</f>
        <v>2.95</v>
      </c>
      <c r="G34" s="1">
        <v>1202</v>
      </c>
      <c r="H34" s="3">
        <f>VLOOKUP("txc"&amp;"-"&amp;G34,[2]flota_lineas_tp!$A$1:$D$2000,4,FALSE)</f>
        <v>2.74</v>
      </c>
      <c r="J34" s="1">
        <v>1202</v>
      </c>
      <c r="K34" s="1">
        <f>VLOOKUP("txc"&amp;"-"&amp;J34,[3]flota_lineas_tp!$A$1:$D$2000,4,FALSE)</f>
        <v>4.42</v>
      </c>
      <c r="M34" s="1">
        <v>1202</v>
      </c>
    </row>
    <row r="35" spans="1:13" x14ac:dyDescent="0.2">
      <c r="A35" s="1">
        <v>12001</v>
      </c>
      <c r="B35" s="3">
        <f>VLOOKUP("h1-txc"&amp;"-"&amp;A35,[1]flota_lineas_tp!$A$1:$F$65536,6,FALSE)</f>
        <v>0.37</v>
      </c>
      <c r="D35" s="1">
        <v>12001</v>
      </c>
      <c r="E35" s="3">
        <f>VLOOKUP("h2-txc"&amp;"-"&amp;D35,[1]flota_lineas_tp!$A$1:$F$65536,6,FALSE)</f>
        <v>7.38</v>
      </c>
      <c r="G35" s="1">
        <v>12001</v>
      </c>
      <c r="H35" s="3">
        <f>VLOOKUP("txc"&amp;"-"&amp;G35,[2]flota_lineas_tp!$A$1:$D$2000,4,FALSE)</f>
        <v>5.57</v>
      </c>
      <c r="J35" s="1">
        <v>12001</v>
      </c>
      <c r="K35" s="1">
        <f>VLOOKUP("txc"&amp;"-"&amp;J35,[3]flota_lineas_tp!$A$1:$D$2000,4,FALSE)</f>
        <v>5.67</v>
      </c>
      <c r="M35" s="1">
        <v>12001</v>
      </c>
    </row>
    <row r="36" spans="1:13" x14ac:dyDescent="0.2">
      <c r="A36" s="1">
        <v>12002</v>
      </c>
      <c r="B36" s="3">
        <f>VLOOKUP("h1-txc"&amp;"-"&amp;A36,[1]flota_lineas_tp!$A$1:$F$65536,6,FALSE)</f>
        <v>0.37</v>
      </c>
      <c r="D36" s="1">
        <v>12002</v>
      </c>
      <c r="E36" s="3">
        <f>VLOOKUP("h2-txc"&amp;"-"&amp;D36,[1]flota_lineas_tp!$A$1:$F$65536,6,FALSE)</f>
        <v>0.49</v>
      </c>
      <c r="G36" s="1">
        <v>12002</v>
      </c>
      <c r="H36" s="3">
        <f>VLOOKUP("txc"&amp;"-"&amp;G36,[2]flota_lineas_tp!$A$1:$D$2000,4,FALSE)</f>
        <v>0.54</v>
      </c>
      <c r="J36" s="1">
        <v>12002</v>
      </c>
      <c r="K36" s="1">
        <f>VLOOKUP("txc"&amp;"-"&amp;J36,[3]flota_lineas_tp!$A$1:$D$2000,4,FALSE)</f>
        <v>3.61</v>
      </c>
      <c r="M36" s="1">
        <v>12002</v>
      </c>
    </row>
    <row r="37" spans="1:13" x14ac:dyDescent="0.2">
      <c r="A37" s="1">
        <v>12011</v>
      </c>
      <c r="B37" s="3">
        <f>VLOOKUP("h1-txc"&amp;"-"&amp;A37,[1]flota_lineas_tp!$A$1:$F$65536,6,FALSE)</f>
        <v>0.96</v>
      </c>
      <c r="D37" s="1">
        <v>12011</v>
      </c>
      <c r="E37" s="3">
        <f>VLOOKUP("h2-txc"&amp;"-"&amp;D37,[1]flota_lineas_tp!$A$1:$F$65536,6,FALSE)</f>
        <v>1.5</v>
      </c>
      <c r="G37" s="1">
        <v>12011</v>
      </c>
      <c r="H37" s="3">
        <f>VLOOKUP("txc"&amp;"-"&amp;G37,[2]flota_lineas_tp!$A$1:$D$2000,4,FALSE)</f>
        <v>1.28</v>
      </c>
      <c r="J37" s="1">
        <v>12011</v>
      </c>
      <c r="K37" s="1">
        <f>VLOOKUP("txc"&amp;"-"&amp;J37,[3]flota_lineas_tp!$A$1:$D$2000,4,FALSE)</f>
        <v>1.38</v>
      </c>
      <c r="M37" s="1">
        <v>12011</v>
      </c>
    </row>
    <row r="38" spans="1:13" x14ac:dyDescent="0.2">
      <c r="A38" s="1">
        <v>12012</v>
      </c>
      <c r="B38" s="3">
        <f>VLOOKUP("h1-txc"&amp;"-"&amp;A38,[1]flota_lineas_tp!$A$1:$F$65536,6,FALSE)</f>
        <v>0.36</v>
      </c>
      <c r="D38" s="1">
        <v>12012</v>
      </c>
      <c r="E38" s="3">
        <f>VLOOKUP("h2-txc"&amp;"-"&amp;D38,[1]flota_lineas_tp!$A$1:$F$65536,6,FALSE)</f>
        <v>8.59</v>
      </c>
      <c r="G38" s="1">
        <v>12012</v>
      </c>
      <c r="H38" s="3">
        <f>VLOOKUP("txc"&amp;"-"&amp;G38,[2]flota_lineas_tp!$A$1:$D$2000,4,FALSE)</f>
        <v>7.64</v>
      </c>
      <c r="J38" s="1">
        <v>12012</v>
      </c>
      <c r="K38" s="1">
        <f>VLOOKUP("txc"&amp;"-"&amp;J38,[3]flota_lineas_tp!$A$1:$D$2000,4,FALSE)</f>
        <v>1.64</v>
      </c>
      <c r="M38" s="1">
        <v>12012</v>
      </c>
    </row>
    <row r="39" spans="1:13" x14ac:dyDescent="0.2">
      <c r="A39" s="1">
        <v>12601</v>
      </c>
      <c r="B39" s="3">
        <f>VLOOKUP("h1-txc"&amp;"-"&amp;A39,[1]flota_lineas_tp!$A$1:$F$65536,6,FALSE)</f>
        <v>4.16</v>
      </c>
      <c r="D39" s="1">
        <v>12601</v>
      </c>
      <c r="E39" s="3">
        <f>VLOOKUP("h2-txc"&amp;"-"&amp;D39,[1]flota_lineas_tp!$A$1:$F$65536,6,FALSE)</f>
        <v>4.3</v>
      </c>
      <c r="G39" s="1">
        <v>12601</v>
      </c>
      <c r="H39" s="3">
        <f>VLOOKUP("txc"&amp;"-"&amp;G39,[2]flota_lineas_tp!$A$1:$D$2000,4,FALSE)</f>
        <v>7.66</v>
      </c>
      <c r="J39" s="1">
        <v>12601</v>
      </c>
      <c r="K39" s="1">
        <f>VLOOKUP("txc"&amp;"-"&amp;J39,[3]flota_lineas_tp!$A$1:$D$2000,4,FALSE)</f>
        <v>0.38</v>
      </c>
      <c r="M39" s="1">
        <v>12601</v>
      </c>
    </row>
    <row r="40" spans="1:13" x14ac:dyDescent="0.2">
      <c r="A40" s="1">
        <v>12602</v>
      </c>
      <c r="B40" s="3">
        <f>VLOOKUP("h1-txc"&amp;"-"&amp;A40,[1]flota_lineas_tp!$A$1:$F$65536,6,FALSE)</f>
        <v>0.22</v>
      </c>
      <c r="D40" s="1">
        <v>12602</v>
      </c>
      <c r="E40" s="3">
        <f>VLOOKUP("h2-txc"&amp;"-"&amp;D40,[1]flota_lineas_tp!$A$1:$F$65536,6,FALSE)</f>
        <v>2.66</v>
      </c>
      <c r="G40" s="1">
        <v>12602</v>
      </c>
      <c r="H40" s="3">
        <f>VLOOKUP("txc"&amp;"-"&amp;G40,[2]flota_lineas_tp!$A$1:$D$2000,4,FALSE)</f>
        <v>0.23</v>
      </c>
      <c r="J40" s="1">
        <v>12602</v>
      </c>
      <c r="K40" s="1">
        <f>VLOOKUP("txc"&amp;"-"&amp;J40,[3]flota_lineas_tp!$A$1:$D$2000,4,FALSE)</f>
        <v>0.46</v>
      </c>
      <c r="M40" s="1">
        <v>12602</v>
      </c>
    </row>
    <row r="41" spans="1:13" x14ac:dyDescent="0.2">
      <c r="A41" s="1">
        <v>12901</v>
      </c>
      <c r="B41" s="3">
        <f>VLOOKUP("h1-txc"&amp;"-"&amp;A41,[1]flota_lineas_tp!$A$1:$F$65536,6,FALSE)</f>
        <v>1.68</v>
      </c>
      <c r="D41" s="1">
        <v>12901</v>
      </c>
      <c r="E41" s="3">
        <f>VLOOKUP("h2-txc"&amp;"-"&amp;D41,[1]flota_lineas_tp!$A$1:$F$65536,6,FALSE)</f>
        <v>9.68</v>
      </c>
      <c r="G41" s="1">
        <v>12901</v>
      </c>
      <c r="H41" s="3">
        <f>VLOOKUP("txc"&amp;"-"&amp;G41,[2]flota_lineas_tp!$A$1:$D$2000,4,FALSE)</f>
        <v>2.0499999999999998</v>
      </c>
      <c r="J41" s="1">
        <v>12901</v>
      </c>
      <c r="K41" s="1">
        <f>VLOOKUP("txc"&amp;"-"&amp;J41,[3]flota_lineas_tp!$A$1:$D$2000,4,FALSE)</f>
        <v>1.75</v>
      </c>
      <c r="M41" s="1">
        <v>12901</v>
      </c>
    </row>
    <row r="42" spans="1:13" x14ac:dyDescent="0.2">
      <c r="A42" s="1">
        <v>12902</v>
      </c>
      <c r="B42" s="3">
        <f>VLOOKUP("h1-txc"&amp;"-"&amp;A42,[1]flota_lineas_tp!$A$1:$F$65536,6,FALSE)</f>
        <v>0.45</v>
      </c>
      <c r="D42" s="1">
        <v>12902</v>
      </c>
      <c r="E42" s="3">
        <f>VLOOKUP("h2-txc"&amp;"-"&amp;D42,[1]flota_lineas_tp!$A$1:$F$65536,6,FALSE)</f>
        <v>1.07</v>
      </c>
      <c r="G42" s="1">
        <v>12902</v>
      </c>
      <c r="H42" s="3">
        <f>VLOOKUP("txc"&amp;"-"&amp;G42,[2]flota_lineas_tp!$A$1:$D$2000,4,FALSE)</f>
        <v>2.48</v>
      </c>
      <c r="J42" s="1">
        <v>12902</v>
      </c>
      <c r="K42" s="1">
        <f>VLOOKUP("txc"&amp;"-"&amp;J42,[3]flota_lineas_tp!$A$1:$D$2000,4,FALSE)</f>
        <v>1.83</v>
      </c>
      <c r="M42" s="1">
        <v>12902</v>
      </c>
    </row>
    <row r="43" spans="1:13" x14ac:dyDescent="0.2">
      <c r="A43" s="1">
        <v>12911</v>
      </c>
      <c r="B43" s="3">
        <f>VLOOKUP("h1-txc"&amp;"-"&amp;A43,[1]flota_lineas_tp!$A$1:$F$65536,6,FALSE)</f>
        <v>1.69</v>
      </c>
      <c r="D43" s="1">
        <v>12911</v>
      </c>
      <c r="E43" s="3">
        <f>VLOOKUP("h2-txc"&amp;"-"&amp;D43,[1]flota_lineas_tp!$A$1:$F$65536,6,FALSE)</f>
        <v>2.87</v>
      </c>
      <c r="G43" s="1">
        <v>12911</v>
      </c>
      <c r="H43" s="3">
        <f>VLOOKUP("txc"&amp;"-"&amp;G43,[2]flota_lineas_tp!$A$1:$D$2000,4,FALSE)</f>
        <v>0.97</v>
      </c>
      <c r="J43" s="1">
        <v>12911</v>
      </c>
      <c r="K43" s="1">
        <f>VLOOKUP("txc"&amp;"-"&amp;J43,[3]flota_lineas_tp!$A$1:$D$2000,4,FALSE)</f>
        <v>0.87</v>
      </c>
      <c r="M43" s="1">
        <v>12911</v>
      </c>
    </row>
    <row r="44" spans="1:13" x14ac:dyDescent="0.2">
      <c r="A44" s="1">
        <v>12912</v>
      </c>
      <c r="B44" s="3">
        <f>VLOOKUP("h1-txc"&amp;"-"&amp;A44,[1]flota_lineas_tp!$A$1:$F$65536,6,FALSE)</f>
        <v>0.63</v>
      </c>
      <c r="D44" s="1">
        <v>12912</v>
      </c>
      <c r="E44" s="3">
        <f>VLOOKUP("h2-txc"&amp;"-"&amp;D44,[1]flota_lineas_tp!$A$1:$F$65536,6,FALSE)</f>
        <v>13.87</v>
      </c>
      <c r="G44" s="1">
        <v>12912</v>
      </c>
      <c r="H44" s="3">
        <f>VLOOKUP("txc"&amp;"-"&amp;G44,[2]flota_lineas_tp!$A$1:$D$2000,4,FALSE)</f>
        <v>15.45</v>
      </c>
      <c r="J44" s="1">
        <v>12912</v>
      </c>
      <c r="K44" s="1">
        <f>VLOOKUP("txc"&amp;"-"&amp;J44,[3]flota_lineas_tp!$A$1:$D$2000,4,FALSE)</f>
        <v>18.89</v>
      </c>
      <c r="M44" s="1">
        <v>12912</v>
      </c>
    </row>
    <row r="45" spans="1:13" x14ac:dyDescent="0.2">
      <c r="A45" s="1">
        <v>1211</v>
      </c>
      <c r="B45" s="3">
        <f>VLOOKUP("h1-txc"&amp;"-"&amp;A45,[1]flota_lineas_tp!$A$1:$F$65536,6,FALSE)</f>
        <v>0.22</v>
      </c>
      <c r="D45" s="1">
        <v>1211</v>
      </c>
      <c r="E45" s="3">
        <f>VLOOKUP("h2-txc"&amp;"-"&amp;D45,[1]flota_lineas_tp!$A$1:$F$65536,6,FALSE)</f>
        <v>0.36</v>
      </c>
      <c r="G45" s="1">
        <v>1211</v>
      </c>
      <c r="H45" s="3">
        <f>VLOOKUP("txc"&amp;"-"&amp;G45,[2]flota_lineas_tp!$A$1:$D$2000,4,FALSE)</f>
        <v>3.36</v>
      </c>
      <c r="J45" s="1">
        <v>1211</v>
      </c>
      <c r="K45" s="1">
        <f>VLOOKUP("txc"&amp;"-"&amp;J45,[3]flota_lineas_tp!$A$1:$D$2000,4,FALSE)</f>
        <v>0.36</v>
      </c>
      <c r="M45" s="1">
        <v>1211</v>
      </c>
    </row>
    <row r="46" spans="1:13" x14ac:dyDescent="0.2">
      <c r="A46" s="1">
        <v>1212</v>
      </c>
      <c r="B46" s="3">
        <f>VLOOKUP("h1-txc"&amp;"-"&amp;A46,[1]flota_lineas_tp!$A$1:$F$65536,6,FALSE)</f>
        <v>4.6500000000000004</v>
      </c>
      <c r="D46" s="1">
        <v>1212</v>
      </c>
      <c r="E46" s="3">
        <f>VLOOKUP("h2-txc"&amp;"-"&amp;D46,[1]flota_lineas_tp!$A$1:$F$65536,6,FALSE)</f>
        <v>8.08</v>
      </c>
      <c r="G46" s="1">
        <v>1212</v>
      </c>
      <c r="H46" s="3">
        <f>VLOOKUP("txc"&amp;"-"&amp;G46,[2]flota_lineas_tp!$A$1:$D$2000,4,FALSE)</f>
        <v>4.79</v>
      </c>
      <c r="J46" s="1">
        <v>1212</v>
      </c>
      <c r="K46" s="1">
        <f>VLOOKUP("txc"&amp;"-"&amp;J46,[3]flota_lineas_tp!$A$1:$D$2000,4,FALSE)</f>
        <v>9.58</v>
      </c>
      <c r="M46" s="1">
        <v>1212</v>
      </c>
    </row>
    <row r="47" spans="1:13" x14ac:dyDescent="0.2">
      <c r="A47" s="1">
        <v>1301</v>
      </c>
      <c r="B47" s="3">
        <f>VLOOKUP("h1-txc"&amp;"-"&amp;A47,[1]flota_lineas_tp!$A$1:$F$65536,6,FALSE)</f>
        <v>1.08</v>
      </c>
      <c r="D47" s="1">
        <v>1301</v>
      </c>
      <c r="E47" s="3">
        <f>VLOOKUP("h2-txc"&amp;"-"&amp;D47,[1]flota_lineas_tp!$A$1:$F$65536,6,FALSE)</f>
        <v>0.97</v>
      </c>
      <c r="G47" s="1">
        <v>1301</v>
      </c>
      <c r="H47" s="3">
        <f>VLOOKUP("txc"&amp;"-"&amp;G47,[2]flota_lineas_tp!$A$1:$D$2000,4,FALSE)</f>
        <v>1.22</v>
      </c>
      <c r="J47" s="1">
        <v>1301</v>
      </c>
      <c r="K47" s="1">
        <f>VLOOKUP("txc"&amp;"-"&amp;J47,[3]flota_lineas_tp!$A$1:$D$2000,4,FALSE)</f>
        <v>1.1499999999999999</v>
      </c>
      <c r="M47" s="1">
        <v>1301</v>
      </c>
    </row>
    <row r="48" spans="1:13" x14ac:dyDescent="0.2">
      <c r="A48" s="1">
        <v>1302</v>
      </c>
      <c r="B48" s="3">
        <f>VLOOKUP("h1-txc"&amp;"-"&amp;A48,[1]flota_lineas_tp!$A$1:$F$65536,6,FALSE)</f>
        <v>0.8</v>
      </c>
      <c r="D48" s="1">
        <v>1302</v>
      </c>
      <c r="E48" s="3">
        <f>VLOOKUP("h2-txc"&amp;"-"&amp;D48,[1]flota_lineas_tp!$A$1:$F$65536,6,FALSE)</f>
        <v>1.21</v>
      </c>
      <c r="G48" s="1">
        <v>1302</v>
      </c>
      <c r="H48" s="3">
        <f>VLOOKUP("txc"&amp;"-"&amp;G48,[2]flota_lineas_tp!$A$1:$D$2000,4,FALSE)</f>
        <v>1.1399999999999999</v>
      </c>
      <c r="J48" s="1">
        <v>1302</v>
      </c>
      <c r="K48" s="1">
        <f>VLOOKUP("txc"&amp;"-"&amp;J48,[3]flota_lineas_tp!$A$1:$D$2000,4,FALSE)</f>
        <v>1.06</v>
      </c>
      <c r="M48" s="1">
        <v>1302</v>
      </c>
    </row>
    <row r="49" spans="1:13" x14ac:dyDescent="0.2">
      <c r="A49" s="1">
        <v>13001</v>
      </c>
      <c r="B49" s="3">
        <f>VLOOKUP("h1-txc"&amp;"-"&amp;A49,[1]flota_lineas_tp!$A$1:$F$65536,6,FALSE)</f>
        <v>0.19</v>
      </c>
      <c r="D49" s="1">
        <v>13001</v>
      </c>
      <c r="E49" s="3">
        <f>VLOOKUP("h2-txc"&amp;"-"&amp;D49,[1]flota_lineas_tp!$A$1:$F$65536,6,FALSE)</f>
        <v>0.28999999999999998</v>
      </c>
      <c r="G49" s="1">
        <v>13001</v>
      </c>
      <c r="H49" s="3">
        <f>VLOOKUP("txc"&amp;"-"&amp;G49,[2]flota_lineas_tp!$A$1:$D$2000,4,FALSE)</f>
        <v>0.14000000000000001</v>
      </c>
      <c r="J49" s="1">
        <v>13001</v>
      </c>
      <c r="K49" s="1">
        <f>VLOOKUP("txc"&amp;"-"&amp;J49,[3]flota_lineas_tp!$A$1:$D$2000,4,FALSE)</f>
        <v>0.14000000000000001</v>
      </c>
      <c r="M49" s="1">
        <v>13001</v>
      </c>
    </row>
    <row r="50" spans="1:13" x14ac:dyDescent="0.2">
      <c r="A50" s="1">
        <v>13002</v>
      </c>
      <c r="B50" s="3">
        <f>VLOOKUP("h1-txc"&amp;"-"&amp;A50,[1]flota_lineas_tp!$A$1:$F$65536,6,FALSE)</f>
        <v>1.05</v>
      </c>
      <c r="D50" s="1">
        <v>13002</v>
      </c>
      <c r="E50" s="3">
        <f>VLOOKUP("h2-txc"&amp;"-"&amp;D50,[1]flota_lineas_tp!$A$1:$F$65536,6,FALSE)</f>
        <v>5.69</v>
      </c>
      <c r="G50" s="1">
        <v>13002</v>
      </c>
      <c r="H50" s="3">
        <f>VLOOKUP("txc"&amp;"-"&amp;G50,[2]flota_lineas_tp!$A$1:$D$2000,4,FALSE)</f>
        <v>0.52</v>
      </c>
      <c r="J50" s="1">
        <v>13002</v>
      </c>
      <c r="K50" s="1">
        <f>VLOOKUP("txc"&amp;"-"&amp;J50,[3]flota_lineas_tp!$A$1:$D$2000,4,FALSE)</f>
        <v>0.15</v>
      </c>
      <c r="M50" s="1">
        <v>13002</v>
      </c>
    </row>
    <row r="51" spans="1:13" x14ac:dyDescent="0.2">
      <c r="A51" s="1">
        <v>13011</v>
      </c>
      <c r="B51" s="3">
        <f>VLOOKUP("h1-txc"&amp;"-"&amp;A51,[1]flota_lineas_tp!$A$1:$F$65536,6,FALSE)</f>
        <v>3.58</v>
      </c>
      <c r="D51" s="1">
        <v>13011</v>
      </c>
      <c r="E51" s="3">
        <f>VLOOKUP("h2-txc"&amp;"-"&amp;D51,[1]flota_lineas_tp!$A$1:$F$65536,6,FALSE)</f>
        <v>2.59</v>
      </c>
      <c r="G51" s="1">
        <v>13011</v>
      </c>
      <c r="H51" s="3">
        <f>VLOOKUP("txc"&amp;"-"&amp;G51,[2]flota_lineas_tp!$A$1:$D$2000,4,FALSE)</f>
        <v>1.51</v>
      </c>
      <c r="J51" s="1">
        <v>13011</v>
      </c>
      <c r="K51" s="1">
        <f>VLOOKUP("txc"&amp;"-"&amp;J51,[3]flota_lineas_tp!$A$1:$D$2000,4,FALSE)</f>
        <v>0.13</v>
      </c>
      <c r="M51" s="1">
        <v>13011</v>
      </c>
    </row>
    <row r="52" spans="1:13" x14ac:dyDescent="0.2">
      <c r="A52" s="1">
        <v>13012</v>
      </c>
      <c r="B52" s="3">
        <f>VLOOKUP("h1-txc"&amp;"-"&amp;A52,[1]flota_lineas_tp!$A$1:$F$65536,6,FALSE)</f>
        <v>4.25</v>
      </c>
      <c r="D52" s="1">
        <v>13012</v>
      </c>
      <c r="E52" s="3">
        <f>VLOOKUP("h2-txc"&amp;"-"&amp;D52,[1]flota_lineas_tp!$A$1:$F$65536,6,FALSE)</f>
        <v>5.58</v>
      </c>
      <c r="G52" s="1">
        <v>13012</v>
      </c>
      <c r="H52" s="3">
        <f>VLOOKUP("txc"&amp;"-"&amp;G52,[2]flota_lineas_tp!$A$1:$D$2000,4,FALSE)</f>
        <v>0.57999999999999996</v>
      </c>
      <c r="J52" s="1">
        <v>13012</v>
      </c>
      <c r="K52" s="1">
        <f>VLOOKUP("txc"&amp;"-"&amp;J52,[3]flota_lineas_tp!$A$1:$D$2000,4,FALSE)</f>
        <v>0.16</v>
      </c>
      <c r="M52" s="1">
        <v>13012</v>
      </c>
    </row>
    <row r="53" spans="1:13" x14ac:dyDescent="0.2">
      <c r="A53" s="1">
        <v>13201</v>
      </c>
      <c r="B53" s="3">
        <f>VLOOKUP("h1-txc"&amp;"-"&amp;A53,[1]flota_lineas_tp!$A$1:$F$65536,6,FALSE)</f>
        <v>2.36</v>
      </c>
      <c r="D53" s="1">
        <v>13201</v>
      </c>
      <c r="E53" s="3">
        <f>VLOOKUP("h2-txc"&amp;"-"&amp;D53,[1]flota_lineas_tp!$A$1:$F$65536,6,FALSE)</f>
        <v>3.25</v>
      </c>
      <c r="G53" s="1">
        <v>13201</v>
      </c>
      <c r="H53" s="3">
        <f>VLOOKUP("txc"&amp;"-"&amp;G53,[2]flota_lineas_tp!$A$1:$D$2000,4,FALSE)</f>
        <v>0.96</v>
      </c>
      <c r="J53" s="1">
        <v>13201</v>
      </c>
      <c r="K53" s="1">
        <f>VLOOKUP("txc"&amp;"-"&amp;J53,[3]flota_lineas_tp!$A$1:$D$2000,4,FALSE)</f>
        <v>1.02</v>
      </c>
      <c r="M53" s="1">
        <v>13201</v>
      </c>
    </row>
    <row r="54" spans="1:13" x14ac:dyDescent="0.2">
      <c r="A54" s="1">
        <v>13202</v>
      </c>
      <c r="B54" s="3">
        <f>VLOOKUP("h1-txc"&amp;"-"&amp;A54,[1]flota_lineas_tp!$A$1:$F$65536,6,FALSE)</f>
        <v>1.2</v>
      </c>
      <c r="D54" s="1">
        <v>13202</v>
      </c>
      <c r="E54" s="3">
        <f>VLOOKUP("h2-txc"&amp;"-"&amp;D54,[1]flota_lineas_tp!$A$1:$F$65536,6,FALSE)</f>
        <v>6.09</v>
      </c>
      <c r="G54" s="1">
        <v>13202</v>
      </c>
      <c r="H54" s="3">
        <f>VLOOKUP("txc"&amp;"-"&amp;G54,[2]flota_lineas_tp!$A$1:$D$2000,4,FALSE)</f>
        <v>5.34</v>
      </c>
      <c r="J54" s="1">
        <v>13202</v>
      </c>
      <c r="K54" s="1">
        <f>VLOOKUP("txc"&amp;"-"&amp;J54,[3]flota_lineas_tp!$A$1:$D$2000,4,FALSE)</f>
        <v>6.62</v>
      </c>
      <c r="M54" s="1">
        <v>13202</v>
      </c>
    </row>
    <row r="55" spans="1:13" x14ac:dyDescent="0.2">
      <c r="A55" s="1">
        <v>13211</v>
      </c>
      <c r="B55" s="3">
        <f>VLOOKUP("h1-txc"&amp;"-"&amp;A55,[1]flota_lineas_tp!$A$1:$F$65536,6,FALSE)</f>
        <v>0.21</v>
      </c>
      <c r="D55" s="1">
        <v>13211</v>
      </c>
      <c r="E55" s="3">
        <f>VLOOKUP("h2-txc"&amp;"-"&amp;D55,[1]flota_lineas_tp!$A$1:$F$65536,6,FALSE)</f>
        <v>0.23</v>
      </c>
      <c r="G55" s="1">
        <v>13211</v>
      </c>
      <c r="H55" s="3">
        <f>VLOOKUP("txc"&amp;"-"&amp;G55,[2]flota_lineas_tp!$A$1:$D$2000,4,FALSE)</f>
        <v>0.21</v>
      </c>
      <c r="J55" s="1">
        <v>13211</v>
      </c>
      <c r="K55" s="1">
        <f>VLOOKUP("txc"&amp;"-"&amp;J55,[3]flota_lineas_tp!$A$1:$D$2000,4,FALSE)</f>
        <v>0.21</v>
      </c>
      <c r="M55" s="1">
        <v>13211</v>
      </c>
    </row>
    <row r="56" spans="1:13" x14ac:dyDescent="0.2">
      <c r="A56" s="1">
        <v>13212</v>
      </c>
      <c r="B56" s="3">
        <f>VLOOKUP("h1-txc"&amp;"-"&amp;A56,[1]flota_lineas_tp!$A$1:$F$65536,6,FALSE)</f>
        <v>0.21</v>
      </c>
      <c r="D56" s="1">
        <v>13212</v>
      </c>
      <c r="E56" s="3">
        <f>VLOOKUP("h2-txc"&amp;"-"&amp;D56,[1]flota_lineas_tp!$A$1:$F$65536,6,FALSE)</f>
        <v>0.23</v>
      </c>
      <c r="G56" s="1">
        <v>13212</v>
      </c>
      <c r="H56" s="3">
        <f>VLOOKUP("txc"&amp;"-"&amp;G56,[2]flota_lineas_tp!$A$1:$D$2000,4,FALSE)</f>
        <v>0.22</v>
      </c>
      <c r="J56" s="1">
        <v>13212</v>
      </c>
      <c r="K56" s="1">
        <f>VLOOKUP("txc"&amp;"-"&amp;J56,[3]flota_lineas_tp!$A$1:$D$2000,4,FALSE)</f>
        <v>0.22</v>
      </c>
      <c r="M56" s="1">
        <v>13212</v>
      </c>
    </row>
    <row r="57" spans="1:13" x14ac:dyDescent="0.2">
      <c r="A57" s="1">
        <v>13301</v>
      </c>
      <c r="B57" s="3">
        <f>VLOOKUP("h1-txc"&amp;"-"&amp;A57,[1]flota_lineas_tp!$A$1:$F$65536,6,FALSE)</f>
        <v>0.46</v>
      </c>
      <c r="D57" s="1">
        <v>13301</v>
      </c>
      <c r="E57" s="3">
        <f>VLOOKUP("h2-txc"&amp;"-"&amp;D57,[1]flota_lineas_tp!$A$1:$F$65536,6,FALSE)</f>
        <v>18.39</v>
      </c>
      <c r="G57" s="1">
        <v>13301</v>
      </c>
      <c r="H57" s="3">
        <f>VLOOKUP("txc"&amp;"-"&amp;G57,[2]flota_lineas_tp!$A$1:$D$2000,4,FALSE)</f>
        <v>3.9</v>
      </c>
      <c r="J57" s="1">
        <v>13301</v>
      </c>
      <c r="K57" s="1">
        <f>VLOOKUP("txc"&amp;"-"&amp;J57,[3]flota_lineas_tp!$A$1:$D$2000,4,FALSE)</f>
        <v>3.17</v>
      </c>
      <c r="M57" s="1">
        <v>13301</v>
      </c>
    </row>
    <row r="58" spans="1:13" x14ac:dyDescent="0.2">
      <c r="A58" s="1">
        <v>13302</v>
      </c>
      <c r="B58" s="3">
        <f>VLOOKUP("h1-txc"&amp;"-"&amp;A58,[1]flota_lineas_tp!$A$1:$F$65536,6,FALSE)</f>
        <v>5.39</v>
      </c>
      <c r="D58" s="1">
        <v>13302</v>
      </c>
      <c r="E58" s="3">
        <f>VLOOKUP("h2-txc"&amp;"-"&amp;D58,[1]flota_lineas_tp!$A$1:$F$65536,6,FALSE)</f>
        <v>0.48</v>
      </c>
      <c r="G58" s="1">
        <v>13302</v>
      </c>
      <c r="H58" s="3">
        <f>VLOOKUP("txc"&amp;"-"&amp;G58,[2]flota_lineas_tp!$A$1:$D$2000,4,FALSE)</f>
        <v>6.68</v>
      </c>
      <c r="J58" s="1">
        <v>13302</v>
      </c>
      <c r="K58" s="1">
        <f>VLOOKUP("txc"&amp;"-"&amp;J58,[3]flota_lineas_tp!$A$1:$D$2000,4,FALSE)</f>
        <v>22.13</v>
      </c>
      <c r="M58" s="1">
        <v>13302</v>
      </c>
    </row>
    <row r="59" spans="1:13" x14ac:dyDescent="0.2">
      <c r="A59" s="1">
        <v>13321</v>
      </c>
      <c r="B59" s="3">
        <f>VLOOKUP("h1-txc"&amp;"-"&amp;A59,[1]flota_lineas_tp!$A$1:$F$65536,6,FALSE)</f>
        <v>0.19</v>
      </c>
      <c r="D59" s="1">
        <v>13321</v>
      </c>
      <c r="E59" s="3">
        <f>VLOOKUP("h2-txc"&amp;"-"&amp;D59,[1]flota_lineas_tp!$A$1:$F$65536,6,FALSE)</f>
        <v>0.21</v>
      </c>
      <c r="G59" s="1">
        <v>13321</v>
      </c>
      <c r="H59" s="3">
        <f>VLOOKUP("txc"&amp;"-"&amp;G59,[2]flota_lineas_tp!$A$1:$D$2000,4,FALSE)</f>
        <v>0.46</v>
      </c>
      <c r="J59" s="1">
        <v>13321</v>
      </c>
      <c r="K59" s="1">
        <f>VLOOKUP("txc"&amp;"-"&amp;J59,[3]flota_lineas_tp!$A$1:$D$2000,4,FALSE)</f>
        <v>0.21</v>
      </c>
      <c r="M59" s="1">
        <v>13321</v>
      </c>
    </row>
    <row r="60" spans="1:13" x14ac:dyDescent="0.2">
      <c r="A60" s="1">
        <v>13322</v>
      </c>
      <c r="B60" s="3">
        <f>VLOOKUP("h1-txc"&amp;"-"&amp;A60,[1]flota_lineas_tp!$A$1:$F$65536,6,FALSE)</f>
        <v>3.51</v>
      </c>
      <c r="D60" s="1">
        <v>13322</v>
      </c>
      <c r="E60" s="3">
        <f>VLOOKUP("h2-txc"&amp;"-"&amp;D60,[1]flota_lineas_tp!$A$1:$F$65536,6,FALSE)</f>
        <v>5.36</v>
      </c>
      <c r="G60" s="1">
        <v>13322</v>
      </c>
      <c r="H60" s="3">
        <f>VLOOKUP("txc"&amp;"-"&amp;G60,[2]flota_lineas_tp!$A$1:$D$2000,4,FALSE)</f>
        <v>5.82</v>
      </c>
      <c r="J60" s="1">
        <v>13322</v>
      </c>
      <c r="K60" s="1">
        <f>VLOOKUP("txc"&amp;"-"&amp;J60,[3]flota_lineas_tp!$A$1:$D$2000,4,FALSE)</f>
        <v>0.41</v>
      </c>
      <c r="M60" s="1">
        <v>13322</v>
      </c>
    </row>
    <row r="61" spans="1:13" x14ac:dyDescent="0.2">
      <c r="A61" s="1">
        <v>13311</v>
      </c>
      <c r="B61" s="3">
        <f>VLOOKUP("h1-txc"&amp;"-"&amp;A61,[1]flota_lineas_tp!$A$1:$F$65536,6,FALSE)</f>
        <v>0.08</v>
      </c>
      <c r="D61" s="1">
        <v>13311</v>
      </c>
      <c r="E61" s="3">
        <f>VLOOKUP("h2-txc"&amp;"-"&amp;D61,[1]flota_lineas_tp!$A$1:$F$65536,6,FALSE)</f>
        <v>1.86</v>
      </c>
      <c r="G61" s="1">
        <v>13311</v>
      </c>
      <c r="H61" s="3">
        <f>VLOOKUP("txc"&amp;"-"&amp;G61,[2]flota_lineas_tp!$A$1:$D$2000,4,FALSE)</f>
        <v>1.81</v>
      </c>
      <c r="J61" s="1">
        <v>13311</v>
      </c>
      <c r="K61" s="1">
        <f>VLOOKUP("txc"&amp;"-"&amp;J61,[3]flota_lineas_tp!$A$1:$D$2000,4,FALSE)</f>
        <v>4.04</v>
      </c>
      <c r="M61" s="1">
        <v>13311</v>
      </c>
    </row>
    <row r="62" spans="1:13" x14ac:dyDescent="0.2">
      <c r="A62" s="1">
        <v>13312</v>
      </c>
      <c r="B62" s="3">
        <f>VLOOKUP("h1-txc"&amp;"-"&amp;A62,[1]flota_lineas_tp!$A$1:$F$65536,6,FALSE)</f>
        <v>0.09</v>
      </c>
      <c r="D62" s="1">
        <v>13312</v>
      </c>
      <c r="E62" s="3">
        <f>VLOOKUP("h2-txc"&amp;"-"&amp;D62,[1]flota_lineas_tp!$A$1:$F$65536,6,FALSE)</f>
        <v>1.31</v>
      </c>
      <c r="G62" s="1">
        <v>13312</v>
      </c>
      <c r="H62" s="3">
        <f>VLOOKUP("txc"&amp;"-"&amp;G62,[2]flota_lineas_tp!$A$1:$D$2000,4,FALSE)</f>
        <v>2.04</v>
      </c>
      <c r="J62" s="1">
        <v>13312</v>
      </c>
      <c r="K62" s="1">
        <f>VLOOKUP("txc"&amp;"-"&amp;J62,[3]flota_lineas_tp!$A$1:$D$2000,4,FALSE)</f>
        <v>0.1</v>
      </c>
      <c r="M62" s="1">
        <v>13312</v>
      </c>
    </row>
    <row r="63" spans="1:13" x14ac:dyDescent="0.2">
      <c r="A63" s="1">
        <v>13411</v>
      </c>
      <c r="B63" s="3">
        <f>VLOOKUP("h1-txc"&amp;"-"&amp;A63,[1]flota_lineas_tp!$A$1:$F$65536,6,FALSE)</f>
        <v>0.13</v>
      </c>
      <c r="D63" s="1">
        <v>13411</v>
      </c>
      <c r="E63" s="3">
        <f>VLOOKUP("h2-txc"&amp;"-"&amp;D63,[1]flota_lineas_tp!$A$1:$F$65536,6,FALSE)</f>
        <v>2.0299999999999998</v>
      </c>
      <c r="G63" s="1">
        <v>13411</v>
      </c>
      <c r="H63" s="3">
        <f>VLOOKUP("txc"&amp;"-"&amp;G63,[2]flota_lineas_tp!$A$1:$D$2000,4,FALSE)</f>
        <v>0.82</v>
      </c>
      <c r="J63" s="1">
        <v>13411</v>
      </c>
      <c r="K63" s="1">
        <f>VLOOKUP("txc"&amp;"-"&amp;J63,[3]flota_lineas_tp!$A$1:$D$2000,4,FALSE)</f>
        <v>0.13</v>
      </c>
      <c r="M63" s="1">
        <v>13411</v>
      </c>
    </row>
    <row r="64" spans="1:13" x14ac:dyDescent="0.2">
      <c r="A64" s="1">
        <v>13412</v>
      </c>
      <c r="B64" s="3">
        <f>VLOOKUP("h1-txc"&amp;"-"&amp;A64,[1]flota_lineas_tp!$A$1:$F$65536,6,FALSE)</f>
        <v>0.13</v>
      </c>
      <c r="D64" s="1">
        <v>13412</v>
      </c>
      <c r="E64" s="3">
        <f>VLOOKUP("h2-txc"&amp;"-"&amp;D64,[1]flota_lineas_tp!$A$1:$F$65536,6,FALSE)</f>
        <v>4.43</v>
      </c>
      <c r="G64" s="1">
        <v>13412</v>
      </c>
      <c r="H64" s="3">
        <f>VLOOKUP("txc"&amp;"-"&amp;G64,[2]flota_lineas_tp!$A$1:$D$2000,4,FALSE)</f>
        <v>0.14000000000000001</v>
      </c>
      <c r="J64" s="1">
        <v>13412</v>
      </c>
      <c r="K64" s="1">
        <f>VLOOKUP("txc"&amp;"-"&amp;J64,[3]flota_lineas_tp!$A$1:$D$2000,4,FALSE)</f>
        <v>0.14000000000000001</v>
      </c>
      <c r="M64" s="1">
        <v>13412</v>
      </c>
    </row>
    <row r="65" spans="1:13" x14ac:dyDescent="0.2">
      <c r="A65" s="1">
        <v>13401</v>
      </c>
      <c r="B65" s="3">
        <f>VLOOKUP("h1-txc"&amp;"-"&amp;A65,[1]flota_lineas_tp!$A$1:$F$65536,6,FALSE)</f>
        <v>2.67</v>
      </c>
      <c r="D65" s="1">
        <v>13401</v>
      </c>
      <c r="E65" s="3">
        <f>VLOOKUP("h2-txc"&amp;"-"&amp;D65,[1]flota_lineas_tp!$A$1:$F$65536,6,FALSE)</f>
        <v>2.52</v>
      </c>
      <c r="G65" s="1">
        <v>13401</v>
      </c>
      <c r="H65" s="3">
        <f>VLOOKUP("txc"&amp;"-"&amp;G65,[2]flota_lineas_tp!$A$1:$D$2000,4,FALSE)</f>
        <v>0.87</v>
      </c>
      <c r="J65" s="1">
        <v>13401</v>
      </c>
      <c r="K65" s="1">
        <f>VLOOKUP("txc"&amp;"-"&amp;J65,[3]flota_lineas_tp!$A$1:$D$2000,4,FALSE)</f>
        <v>0.93</v>
      </c>
      <c r="M65" s="1">
        <v>13401</v>
      </c>
    </row>
    <row r="66" spans="1:13" x14ac:dyDescent="0.2">
      <c r="A66" s="1">
        <v>13402</v>
      </c>
      <c r="B66" s="3">
        <f>VLOOKUP("h1-txc"&amp;"-"&amp;A66,[1]flota_lineas_tp!$A$1:$F$65536,6,FALSE)</f>
        <v>0.89</v>
      </c>
      <c r="D66" s="1">
        <v>13402</v>
      </c>
      <c r="E66" s="3">
        <f>VLOOKUP("h2-txc"&amp;"-"&amp;D66,[1]flota_lineas_tp!$A$1:$F$65536,6,FALSE)</f>
        <v>5.66</v>
      </c>
      <c r="G66" s="1">
        <v>13402</v>
      </c>
      <c r="H66" s="3">
        <f>VLOOKUP("txc"&amp;"-"&amp;G66,[2]flota_lineas_tp!$A$1:$D$2000,4,FALSE)</f>
        <v>1.61</v>
      </c>
      <c r="J66" s="1">
        <v>13402</v>
      </c>
      <c r="K66" s="1">
        <f>VLOOKUP("txc"&amp;"-"&amp;J66,[3]flota_lineas_tp!$A$1:$D$2000,4,FALSE)</f>
        <v>1.06</v>
      </c>
      <c r="M66" s="1">
        <v>13402</v>
      </c>
    </row>
    <row r="67" spans="1:13" x14ac:dyDescent="0.2">
      <c r="A67" s="1">
        <v>13501</v>
      </c>
      <c r="B67" s="3">
        <f>VLOOKUP("h1-txc"&amp;"-"&amp;A67,[1]flota_lineas_tp!$A$1:$F$65536,6,FALSE)</f>
        <v>1.47</v>
      </c>
      <c r="D67" s="1">
        <v>13501</v>
      </c>
      <c r="E67" s="3">
        <f>VLOOKUP("h2-txc"&amp;"-"&amp;D67,[1]flota_lineas_tp!$A$1:$F$65536,6,FALSE)</f>
        <v>2.06</v>
      </c>
      <c r="G67" s="1">
        <v>13501</v>
      </c>
      <c r="H67" s="3">
        <f>VLOOKUP("txc"&amp;"-"&amp;G67,[2]flota_lineas_tp!$A$1:$D$2000,4,FALSE)</f>
        <v>2.89</v>
      </c>
      <c r="J67" s="1">
        <v>13501</v>
      </c>
      <c r="K67" s="1">
        <f>VLOOKUP("txc"&amp;"-"&amp;J67,[3]flota_lineas_tp!$A$1:$D$2000,4,FALSE)</f>
        <v>0.76</v>
      </c>
      <c r="M67" s="1">
        <v>13501</v>
      </c>
    </row>
    <row r="68" spans="1:13" x14ac:dyDescent="0.2">
      <c r="A68" s="1">
        <v>13502</v>
      </c>
      <c r="B68" s="3">
        <f>VLOOKUP("h1-txc"&amp;"-"&amp;A68,[1]flota_lineas_tp!$A$1:$F$65536,6,FALSE)</f>
        <v>0.69</v>
      </c>
      <c r="D68" s="1">
        <v>13502</v>
      </c>
      <c r="E68" s="3">
        <f>VLOOKUP("h2-txc"&amp;"-"&amp;D68,[1]flota_lineas_tp!$A$1:$F$65536,6,FALSE)</f>
        <v>1.43</v>
      </c>
      <c r="G68" s="1">
        <v>13502</v>
      </c>
      <c r="H68" s="3">
        <f>VLOOKUP("txc"&amp;"-"&amp;G68,[2]flota_lineas_tp!$A$1:$D$2000,4,FALSE)</f>
        <v>0.73</v>
      </c>
      <c r="J68" s="1">
        <v>13502</v>
      </c>
      <c r="K68" s="1">
        <f>VLOOKUP("txc"&amp;"-"&amp;J68,[3]flota_lineas_tp!$A$1:$D$2000,4,FALSE)</f>
        <v>0.9</v>
      </c>
      <c r="M68" s="1">
        <v>13502</v>
      </c>
    </row>
    <row r="69" spans="1:13" x14ac:dyDescent="0.2">
      <c r="A69" s="1">
        <v>13511</v>
      </c>
      <c r="B69" s="3">
        <f>VLOOKUP("h1-txc"&amp;"-"&amp;A69,[1]flota_lineas_tp!$A$1:$F$65536,6,FALSE)</f>
        <v>0.18</v>
      </c>
      <c r="D69" s="1">
        <v>13511</v>
      </c>
      <c r="E69" s="3">
        <f>VLOOKUP("h2-txc"&amp;"-"&amp;D69,[1]flota_lineas_tp!$A$1:$F$65536,6,FALSE)</f>
        <v>0.19</v>
      </c>
      <c r="G69" s="1">
        <v>13511</v>
      </c>
      <c r="H69" s="3">
        <f>VLOOKUP("txc"&amp;"-"&amp;G69,[2]flota_lineas_tp!$A$1:$D$2000,4,FALSE)</f>
        <v>0.18</v>
      </c>
      <c r="J69" s="1">
        <v>13511</v>
      </c>
      <c r="K69" s="1">
        <f>VLOOKUP("txc"&amp;"-"&amp;J69,[3]flota_lineas_tp!$A$1:$D$2000,4,FALSE)</f>
        <v>0.19</v>
      </c>
      <c r="M69" s="1">
        <v>13511</v>
      </c>
    </row>
    <row r="70" spans="1:13" x14ac:dyDescent="0.2">
      <c r="A70" s="1">
        <v>13512</v>
      </c>
      <c r="B70" s="3">
        <f>VLOOKUP("h1-txc"&amp;"-"&amp;A70,[1]flota_lineas_tp!$A$1:$F$65536,6,FALSE)</f>
        <v>2.85</v>
      </c>
      <c r="D70" s="1">
        <v>13512</v>
      </c>
      <c r="E70" s="3">
        <f>VLOOKUP("h2-txc"&amp;"-"&amp;D70,[1]flota_lineas_tp!$A$1:$F$65536,6,FALSE)</f>
        <v>3.38</v>
      </c>
      <c r="G70" s="1">
        <v>13512</v>
      </c>
      <c r="H70" s="3">
        <f>VLOOKUP("txc"&amp;"-"&amp;G70,[2]flota_lineas_tp!$A$1:$D$2000,4,FALSE)</f>
        <v>2.2200000000000002</v>
      </c>
      <c r="J70" s="1">
        <v>13512</v>
      </c>
      <c r="K70" s="1">
        <f>VLOOKUP("txc"&amp;"-"&amp;J70,[3]flota_lineas_tp!$A$1:$D$2000,4,FALSE)</f>
        <v>2.42</v>
      </c>
      <c r="M70" s="1">
        <v>13512</v>
      </c>
    </row>
    <row r="71" spans="1:13" x14ac:dyDescent="0.2">
      <c r="A71" s="1">
        <v>13601</v>
      </c>
      <c r="B71" s="3">
        <f>VLOOKUP("h1-txc"&amp;"-"&amp;A71,[1]flota_lineas_tp!$A$1:$F$65536,6,FALSE)</f>
        <v>1.77</v>
      </c>
      <c r="D71" s="1">
        <v>13601</v>
      </c>
      <c r="E71" s="3">
        <f>VLOOKUP("h2-txc"&amp;"-"&amp;D71,[1]flota_lineas_tp!$A$1:$F$65536,6,FALSE)</f>
        <v>34.99</v>
      </c>
      <c r="G71" s="1">
        <v>13601</v>
      </c>
      <c r="H71" s="3">
        <f>VLOOKUP("txc"&amp;"-"&amp;G71,[2]flota_lineas_tp!$A$1:$D$2000,4,FALSE)</f>
        <v>0.83</v>
      </c>
      <c r="J71" s="1">
        <v>13601</v>
      </c>
      <c r="K71" s="1">
        <f>VLOOKUP("txc"&amp;"-"&amp;J71,[3]flota_lineas_tp!$A$1:$D$2000,4,FALSE)</f>
        <v>0.37</v>
      </c>
      <c r="M71" s="1">
        <v>13601</v>
      </c>
    </row>
    <row r="72" spans="1:13" x14ac:dyDescent="0.2">
      <c r="A72" s="1">
        <v>13602</v>
      </c>
      <c r="B72" s="3">
        <f>VLOOKUP("h1-txc"&amp;"-"&amp;A72,[1]flota_lineas_tp!$A$1:$F$65536,6,FALSE)</f>
        <v>9.7200000000000006</v>
      </c>
      <c r="D72" s="1">
        <v>13602</v>
      </c>
      <c r="E72" s="3">
        <f>VLOOKUP("h2-txc"&amp;"-"&amp;D72,[1]flota_lineas_tp!$A$1:$F$65536,6,FALSE)</f>
        <v>19.149999999999999</v>
      </c>
      <c r="G72" s="1">
        <v>13602</v>
      </c>
      <c r="H72" s="3">
        <f>VLOOKUP("txc"&amp;"-"&amp;G72,[2]flota_lineas_tp!$A$1:$D$2000,4,FALSE)</f>
        <v>10.79</v>
      </c>
      <c r="J72" s="1">
        <v>13602</v>
      </c>
      <c r="K72" s="1">
        <f>VLOOKUP("txc"&amp;"-"&amp;J72,[3]flota_lineas_tp!$A$1:$D$2000,4,FALSE)</f>
        <v>10.17</v>
      </c>
      <c r="M72" s="1">
        <v>13602</v>
      </c>
    </row>
    <row r="73" spans="1:13" x14ac:dyDescent="0.2">
      <c r="A73" s="1">
        <v>1411</v>
      </c>
      <c r="B73" s="3">
        <f>VLOOKUP("h1-txc"&amp;"-"&amp;A73,[1]flota_lineas_tp!$A$1:$F$65536,6,FALSE)</f>
        <v>0.9</v>
      </c>
      <c r="D73" s="1">
        <v>1411</v>
      </c>
      <c r="E73" s="3">
        <f>VLOOKUP("h2-txc"&amp;"-"&amp;D73,[1]flota_lineas_tp!$A$1:$F$65536,6,FALSE)</f>
        <v>0.53</v>
      </c>
      <c r="G73" s="1">
        <v>1411</v>
      </c>
      <c r="H73" s="3">
        <f>VLOOKUP("txc"&amp;"-"&amp;G73,[2]flota_lineas_tp!$A$1:$D$2000,4,FALSE)</f>
        <v>0.33</v>
      </c>
      <c r="J73" s="1">
        <v>1411</v>
      </c>
      <c r="K73" s="1">
        <f>VLOOKUP("txc"&amp;"-"&amp;J73,[3]flota_lineas_tp!$A$1:$D$2000,4,FALSE)</f>
        <v>1.55</v>
      </c>
      <c r="M73" s="1">
        <v>1411</v>
      </c>
    </row>
    <row r="74" spans="1:13" x14ac:dyDescent="0.2">
      <c r="A74" s="1">
        <v>1412</v>
      </c>
      <c r="B74" s="3">
        <f>VLOOKUP("h1-txc"&amp;"-"&amp;A74,[1]flota_lineas_tp!$A$1:$F$65536,6,FALSE)</f>
        <v>0.11</v>
      </c>
      <c r="D74" s="1">
        <v>1412</v>
      </c>
      <c r="E74" s="3">
        <f>VLOOKUP("h2-txc"&amp;"-"&amp;D74,[1]flota_lineas_tp!$A$1:$F$65536,6,FALSE)</f>
        <v>0.12</v>
      </c>
      <c r="G74" s="1">
        <v>1412</v>
      </c>
      <c r="H74" s="3">
        <f>VLOOKUP("txc"&amp;"-"&amp;G74,[2]flota_lineas_tp!$A$1:$D$2000,4,FALSE)</f>
        <v>0.11</v>
      </c>
      <c r="J74" s="1">
        <v>1412</v>
      </c>
      <c r="K74" s="1">
        <f>VLOOKUP("txc"&amp;"-"&amp;J74,[3]flota_lineas_tp!$A$1:$D$2000,4,FALSE)</f>
        <v>0.11</v>
      </c>
      <c r="M74" s="1">
        <v>1412</v>
      </c>
    </row>
    <row r="75" spans="1:13" x14ac:dyDescent="0.2">
      <c r="A75" s="1">
        <v>1422</v>
      </c>
      <c r="B75" s="3">
        <f>VLOOKUP("h1-txc"&amp;"-"&amp;A75,[1]flota_lineas_tp!$A$1:$F$65536,6,FALSE)</f>
        <v>2.85</v>
      </c>
      <c r="D75" s="1">
        <v>1422</v>
      </c>
      <c r="E75" s="3">
        <f>VLOOKUP("h2-txc"&amp;"-"&amp;D75,[1]flota_lineas_tp!$A$1:$F$65536,6,FALSE)</f>
        <v>4.95</v>
      </c>
      <c r="G75" s="1">
        <v>1422</v>
      </c>
      <c r="H75" s="3">
        <f>VLOOKUP("txc"&amp;"-"&amp;G75,[2]flota_lineas_tp!$A$1:$D$2000,4,FALSE)</f>
        <v>2.87</v>
      </c>
      <c r="J75" s="1">
        <v>1422</v>
      </c>
      <c r="K75" s="1">
        <f>VLOOKUP("txc"&amp;"-"&amp;J75,[3]flota_lineas_tp!$A$1:$D$2000,4,FALSE)</f>
        <v>5.46</v>
      </c>
      <c r="M75" s="1">
        <v>1422</v>
      </c>
    </row>
    <row r="76" spans="1:13" x14ac:dyDescent="0.2">
      <c r="A76" s="1">
        <v>1431</v>
      </c>
      <c r="B76" s="3">
        <f>VLOOKUP("h1-txc"&amp;"-"&amp;A76,[1]flota_lineas_tp!$A$1:$F$65536,6,FALSE)</f>
        <v>0.83</v>
      </c>
      <c r="D76" s="1">
        <v>1431</v>
      </c>
      <c r="E76" s="3">
        <f>VLOOKUP("h2-txc"&amp;"-"&amp;D76,[1]flota_lineas_tp!$A$1:$F$65536,6,FALSE)</f>
        <v>1.9</v>
      </c>
      <c r="G76" s="1">
        <v>1431</v>
      </c>
      <c r="H76" s="3">
        <f>VLOOKUP("txc"&amp;"-"&amp;G76,[2]flota_lineas_tp!$A$1:$D$2000,4,FALSE)</f>
        <v>1.53</v>
      </c>
      <c r="J76" s="1">
        <v>1431</v>
      </c>
      <c r="K76" s="1">
        <f>VLOOKUP("txc"&amp;"-"&amp;J76,[3]flota_lineas_tp!$A$1:$D$2000,4,FALSE)</f>
        <v>3.69</v>
      </c>
      <c r="M76" s="1">
        <v>1431</v>
      </c>
    </row>
    <row r="77" spans="1:13" x14ac:dyDescent="0.2">
      <c r="A77" s="1">
        <v>1432</v>
      </c>
      <c r="B77" s="3">
        <f>VLOOKUP("h1-txc"&amp;"-"&amp;A77,[1]flota_lineas_tp!$A$1:$F$65536,6,FALSE)</f>
        <v>0.17</v>
      </c>
      <c r="D77" s="1">
        <v>1432</v>
      </c>
      <c r="E77" s="3">
        <f>VLOOKUP("h2-txc"&amp;"-"&amp;D77,[1]flota_lineas_tp!$A$1:$F$65536,6,FALSE)</f>
        <v>0.18</v>
      </c>
      <c r="G77" s="1">
        <v>1432</v>
      </c>
      <c r="H77" s="3">
        <f>VLOOKUP("txc"&amp;"-"&amp;G77,[2]flota_lineas_tp!$A$1:$D$2000,4,FALSE)</f>
        <v>6.12</v>
      </c>
      <c r="J77" s="1">
        <v>1432</v>
      </c>
      <c r="K77" s="1">
        <f>VLOOKUP("txc"&amp;"-"&amp;J77,[3]flota_lineas_tp!$A$1:$D$2000,4,FALSE)</f>
        <v>12.8</v>
      </c>
      <c r="M77" s="1">
        <v>1432</v>
      </c>
    </row>
    <row r="78" spans="1:13" x14ac:dyDescent="0.2">
      <c r="A78" s="1">
        <v>15201</v>
      </c>
      <c r="B78" s="3">
        <f>VLOOKUP("h1-txc"&amp;"-"&amp;A78,[1]flota_lineas_tp!$A$1:$F$65536,6,FALSE)</f>
        <v>14.92</v>
      </c>
      <c r="D78" s="1">
        <v>15201</v>
      </c>
      <c r="E78" s="3">
        <f>VLOOKUP("h2-txc"&amp;"-"&amp;D78,[1]flota_lineas_tp!$A$1:$F$65536,6,FALSE)</f>
        <v>20.91</v>
      </c>
      <c r="G78" s="1">
        <v>15201</v>
      </c>
      <c r="H78" s="3">
        <f>VLOOKUP("txc"&amp;"-"&amp;G78,[2]flota_lineas_tp!$A$1:$D$2000,4,FALSE)</f>
        <v>1.29</v>
      </c>
      <c r="J78" s="1">
        <v>15201</v>
      </c>
      <c r="K78" s="1">
        <f>VLOOKUP("txc"&amp;"-"&amp;J78,[3]flota_lineas_tp!$A$1:$D$2000,4,FALSE)</f>
        <v>1.93</v>
      </c>
      <c r="M78" s="1">
        <v>15201</v>
      </c>
    </row>
    <row r="79" spans="1:13" x14ac:dyDescent="0.2">
      <c r="A79" s="1">
        <v>15202</v>
      </c>
      <c r="B79" s="3">
        <f>VLOOKUP("h1-txc"&amp;"-"&amp;A79,[1]flota_lineas_tp!$A$1:$F$65536,6,FALSE)</f>
        <v>6.71</v>
      </c>
      <c r="D79" s="1">
        <v>15202</v>
      </c>
      <c r="E79" s="3">
        <f>VLOOKUP("h2-txc"&amp;"-"&amp;D79,[1]flota_lineas_tp!$A$1:$F$65536,6,FALSE)</f>
        <v>17.37</v>
      </c>
      <c r="G79" s="1">
        <v>15202</v>
      </c>
      <c r="H79" s="3">
        <f>VLOOKUP("txc"&amp;"-"&amp;G79,[2]flota_lineas_tp!$A$1:$D$2000,4,FALSE)</f>
        <v>12.79</v>
      </c>
      <c r="J79" s="1">
        <v>15202</v>
      </c>
      <c r="K79" s="1">
        <f>VLOOKUP("txc"&amp;"-"&amp;J79,[3]flota_lineas_tp!$A$1:$D$2000,4,FALSE)</f>
        <v>9.81</v>
      </c>
      <c r="M79" s="1">
        <v>15202</v>
      </c>
    </row>
    <row r="80" spans="1:13" x14ac:dyDescent="0.2">
      <c r="A80" s="1">
        <v>15211</v>
      </c>
      <c r="B80" s="3">
        <f>VLOOKUP("h1-txc"&amp;"-"&amp;A80,[1]flota_lineas_tp!$A$1:$F$65536,6,FALSE)</f>
        <v>3.8</v>
      </c>
      <c r="D80" s="1">
        <v>15211</v>
      </c>
      <c r="E80" s="3">
        <f>VLOOKUP("h2-txc"&amp;"-"&amp;D80,[1]flota_lineas_tp!$A$1:$F$65536,6,FALSE)</f>
        <v>11.08</v>
      </c>
      <c r="G80" s="1">
        <v>15211</v>
      </c>
      <c r="H80" s="3">
        <f>VLOOKUP("txc"&amp;"-"&amp;G80,[2]flota_lineas_tp!$A$1:$D$2000,4,FALSE)</f>
        <v>1.29</v>
      </c>
      <c r="J80" s="1">
        <v>15211</v>
      </c>
      <c r="K80" s="1">
        <f>VLOOKUP("txc"&amp;"-"&amp;J80,[3]flota_lineas_tp!$A$1:$D$2000,4,FALSE)</f>
        <v>4.07</v>
      </c>
      <c r="M80" s="1">
        <v>15211</v>
      </c>
    </row>
    <row r="81" spans="1:13" x14ac:dyDescent="0.2">
      <c r="A81" s="1">
        <v>15212</v>
      </c>
      <c r="B81" s="3">
        <f>VLOOKUP("h1-txc"&amp;"-"&amp;A81,[1]flota_lineas_tp!$A$1:$F$65536,6,FALSE)</f>
        <v>0.75</v>
      </c>
      <c r="D81" s="1">
        <v>15212</v>
      </c>
      <c r="E81" s="3">
        <f>VLOOKUP("h2-txc"&amp;"-"&amp;D81,[1]flota_lineas_tp!$A$1:$F$65536,6,FALSE)</f>
        <v>0.98</v>
      </c>
      <c r="G81" s="1">
        <v>15212</v>
      </c>
      <c r="H81" s="3">
        <f>VLOOKUP("txc"&amp;"-"&amp;G81,[2]flota_lineas_tp!$A$1:$D$2000,4,FALSE)</f>
        <v>0.96</v>
      </c>
      <c r="J81" s="1">
        <v>15212</v>
      </c>
      <c r="K81" s="1">
        <f>VLOOKUP("txc"&amp;"-"&amp;J81,[3]flota_lineas_tp!$A$1:$D$2000,4,FALSE)</f>
        <v>0.52</v>
      </c>
      <c r="M81" s="1">
        <v>15212</v>
      </c>
    </row>
    <row r="82" spans="1:13" x14ac:dyDescent="0.2">
      <c r="A82" s="1">
        <v>15301</v>
      </c>
      <c r="B82" s="3">
        <f>VLOOKUP("h1-txc"&amp;"-"&amp;A82,[1]flota_lineas_tp!$A$1:$F$65536,6,FALSE)</f>
        <v>0.49</v>
      </c>
      <c r="D82" s="1">
        <v>15301</v>
      </c>
      <c r="E82" s="3">
        <f>VLOOKUP("h2-txc"&amp;"-"&amp;D82,[1]flota_lineas_tp!$A$1:$F$65536,6,FALSE)</f>
        <v>0.76</v>
      </c>
      <c r="G82" s="1">
        <v>15301</v>
      </c>
      <c r="H82" s="3">
        <f>VLOOKUP("txc"&amp;"-"&amp;G82,[2]flota_lineas_tp!$A$1:$D$2000,4,FALSE)</f>
        <v>0.49</v>
      </c>
      <c r="J82" s="1">
        <v>15301</v>
      </c>
      <c r="K82" s="1">
        <f>VLOOKUP("txc"&amp;"-"&amp;J82,[3]flota_lineas_tp!$A$1:$D$2000,4,FALSE)</f>
        <v>3.76</v>
      </c>
      <c r="M82" s="1">
        <v>15301</v>
      </c>
    </row>
    <row r="83" spans="1:13" x14ac:dyDescent="0.2">
      <c r="A83" s="1">
        <v>15302</v>
      </c>
      <c r="B83" s="3">
        <f>VLOOKUP("h1-txc"&amp;"-"&amp;A83,[1]flota_lineas_tp!$A$1:$F$65536,6,FALSE)</f>
        <v>9.1300000000000008</v>
      </c>
      <c r="D83" s="1">
        <v>15302</v>
      </c>
      <c r="E83" s="3">
        <f>VLOOKUP("h2-txc"&amp;"-"&amp;D83,[1]flota_lineas_tp!$A$1:$F$65536,6,FALSE)</f>
        <v>34.79</v>
      </c>
      <c r="G83" s="1">
        <v>15302</v>
      </c>
      <c r="H83" s="3">
        <f>VLOOKUP("txc"&amp;"-"&amp;G83,[2]flota_lineas_tp!$A$1:$D$2000,4,FALSE)</f>
        <v>17.63</v>
      </c>
      <c r="J83" s="1">
        <v>15302</v>
      </c>
      <c r="K83" s="1">
        <f>VLOOKUP("txc"&amp;"-"&amp;J83,[3]flota_lineas_tp!$A$1:$D$2000,4,FALSE)</f>
        <v>23.11</v>
      </c>
      <c r="M83" s="1">
        <v>15302</v>
      </c>
    </row>
    <row r="84" spans="1:13" x14ac:dyDescent="0.2">
      <c r="A84" s="1">
        <v>15311</v>
      </c>
      <c r="B84" s="3">
        <f>VLOOKUP("h1-txc"&amp;"-"&amp;A84,[1]flota_lineas_tp!$A$1:$F$65536,6,FALSE)</f>
        <v>3.53</v>
      </c>
      <c r="D84" s="1">
        <v>15311</v>
      </c>
      <c r="E84" s="3">
        <f>VLOOKUP("h2-txc"&amp;"-"&amp;D84,[1]flota_lineas_tp!$A$1:$F$65536,6,FALSE)</f>
        <v>7.91</v>
      </c>
      <c r="G84" s="1">
        <v>15311</v>
      </c>
      <c r="H84" s="3">
        <f>VLOOKUP("txc"&amp;"-"&amp;G84,[2]flota_lineas_tp!$A$1:$D$2000,4,FALSE)</f>
        <v>15.81</v>
      </c>
      <c r="J84" s="1">
        <v>15311</v>
      </c>
      <c r="K84" s="1">
        <f>VLOOKUP("txc"&amp;"-"&amp;J84,[3]flota_lineas_tp!$A$1:$D$2000,4,FALSE)</f>
        <v>4.7</v>
      </c>
      <c r="M84" s="1">
        <v>15311</v>
      </c>
    </row>
    <row r="85" spans="1:13" x14ac:dyDescent="0.2">
      <c r="A85" s="1">
        <v>15312</v>
      </c>
      <c r="B85" s="3">
        <f>VLOOKUP("h1-txc"&amp;"-"&amp;A85,[1]flota_lineas_tp!$A$1:$F$65536,6,FALSE)</f>
        <v>0.35</v>
      </c>
      <c r="D85" s="1">
        <v>15312</v>
      </c>
      <c r="E85" s="3">
        <f>VLOOKUP("h2-txc"&amp;"-"&amp;D85,[1]flota_lineas_tp!$A$1:$F$65536,6,FALSE)</f>
        <v>0.43</v>
      </c>
      <c r="G85" s="1">
        <v>15312</v>
      </c>
      <c r="H85" s="3">
        <f>VLOOKUP("txc"&amp;"-"&amp;G85,[2]flota_lineas_tp!$A$1:$D$2000,4,FALSE)</f>
        <v>0.38</v>
      </c>
      <c r="J85" s="1">
        <v>15312</v>
      </c>
      <c r="K85" s="1">
        <f>VLOOKUP("txc"&amp;"-"&amp;J85,[3]flota_lineas_tp!$A$1:$D$2000,4,FALSE)</f>
        <v>2.54</v>
      </c>
      <c r="M85" s="1">
        <v>15312</v>
      </c>
    </row>
    <row r="86" spans="1:13" x14ac:dyDescent="0.2">
      <c r="A86" s="1">
        <v>15501</v>
      </c>
      <c r="B86" s="3">
        <f>VLOOKUP("h1-txc"&amp;"-"&amp;A86,[1]flota_lineas_tp!$A$1:$F$65536,6,FALSE)</f>
        <v>35.020000000000003</v>
      </c>
      <c r="D86" s="1">
        <v>15501</v>
      </c>
      <c r="E86" s="3">
        <f>VLOOKUP("h2-txc"&amp;"-"&amp;D86,[1]flota_lineas_tp!$A$1:$F$65536,6,FALSE)</f>
        <v>74.86</v>
      </c>
      <c r="G86" s="1">
        <v>15501</v>
      </c>
      <c r="H86" s="3">
        <f>VLOOKUP("txc"&amp;"-"&amp;G86,[2]flota_lineas_tp!$A$1:$D$2000,4,FALSE)</f>
        <v>51.47</v>
      </c>
      <c r="J86" s="1">
        <v>15501</v>
      </c>
      <c r="K86" s="1">
        <f>VLOOKUP("txc"&amp;"-"&amp;J86,[3]flota_lineas_tp!$A$1:$D$2000,4,FALSE)</f>
        <v>45.95</v>
      </c>
      <c r="M86" s="1">
        <v>15501</v>
      </c>
    </row>
    <row r="87" spans="1:13" x14ac:dyDescent="0.2">
      <c r="A87" s="1">
        <v>15502</v>
      </c>
      <c r="B87" s="3">
        <f>VLOOKUP("h1-txc"&amp;"-"&amp;A87,[1]flota_lineas_tp!$A$1:$F$65536,6,FALSE)</f>
        <v>0.9</v>
      </c>
      <c r="D87" s="1">
        <v>15502</v>
      </c>
      <c r="E87" s="3">
        <f>VLOOKUP("h2-txc"&amp;"-"&amp;D87,[1]flota_lineas_tp!$A$1:$F$65536,6,FALSE)</f>
        <v>8.14</v>
      </c>
      <c r="G87" s="1">
        <v>15502</v>
      </c>
      <c r="H87" s="3">
        <f>VLOOKUP("txc"&amp;"-"&amp;G87,[2]flota_lineas_tp!$A$1:$D$2000,4,FALSE)</f>
        <v>14.01</v>
      </c>
      <c r="J87" s="1">
        <v>15502</v>
      </c>
      <c r="K87" s="1">
        <f>VLOOKUP("txc"&amp;"-"&amp;J87,[3]flota_lineas_tp!$A$1:$D$2000,4,FALSE)</f>
        <v>23.7</v>
      </c>
      <c r="M87" s="1">
        <v>15502</v>
      </c>
    </row>
    <row r="88" spans="1:13" x14ac:dyDescent="0.2">
      <c r="A88" s="1">
        <v>15511</v>
      </c>
      <c r="B88" s="3">
        <f>VLOOKUP("h1-txc"&amp;"-"&amp;A88,[1]flota_lineas_tp!$A$1:$F$65536,6,FALSE)</f>
        <v>0.22</v>
      </c>
      <c r="D88" s="1">
        <v>15511</v>
      </c>
      <c r="E88" s="3">
        <f>VLOOKUP("h2-txc"&amp;"-"&amp;D88,[1]flota_lineas_tp!$A$1:$F$65536,6,FALSE)</f>
        <v>0.51</v>
      </c>
      <c r="G88" s="1">
        <v>15511</v>
      </c>
      <c r="H88" s="3">
        <f>VLOOKUP("txc"&amp;"-"&amp;G88,[2]flota_lineas_tp!$A$1:$D$2000,4,FALSE)</f>
        <v>0.22</v>
      </c>
      <c r="J88" s="1">
        <v>15511</v>
      </c>
      <c r="K88" s="1">
        <f>VLOOKUP("txc"&amp;"-"&amp;J88,[3]flota_lineas_tp!$A$1:$D$2000,4,FALSE)</f>
        <v>0.23</v>
      </c>
      <c r="M88" s="1">
        <v>15511</v>
      </c>
    </row>
    <row r="89" spans="1:13" x14ac:dyDescent="0.2">
      <c r="A89" s="1">
        <v>15512</v>
      </c>
      <c r="B89" s="3">
        <f>VLOOKUP("h1-txc"&amp;"-"&amp;A89,[1]flota_lineas_tp!$A$1:$F$65536,6,FALSE)</f>
        <v>0.34</v>
      </c>
      <c r="D89" s="1">
        <v>15512</v>
      </c>
      <c r="E89" s="3">
        <f>VLOOKUP("h2-txc"&amp;"-"&amp;D89,[1]flota_lineas_tp!$A$1:$F$65536,6,FALSE)</f>
        <v>0.25</v>
      </c>
      <c r="G89" s="1">
        <v>15512</v>
      </c>
      <c r="H89" s="3">
        <f>VLOOKUP("txc"&amp;"-"&amp;G89,[2]flota_lineas_tp!$A$1:$D$2000,4,FALSE)</f>
        <v>0.23</v>
      </c>
      <c r="J89" s="1">
        <v>15512</v>
      </c>
      <c r="K89" s="1">
        <f>VLOOKUP("txc"&amp;"-"&amp;J89,[3]flota_lineas_tp!$A$1:$D$2000,4,FALSE)</f>
        <v>0.23</v>
      </c>
      <c r="M89" s="1">
        <v>15512</v>
      </c>
    </row>
    <row r="90" spans="1:13" x14ac:dyDescent="0.2">
      <c r="A90" s="1">
        <v>15701</v>
      </c>
      <c r="B90" s="3">
        <f>VLOOKUP("h1-txc"&amp;"-"&amp;A90,[1]flota_lineas_tp!$A$1:$F$65536,6,FALSE)</f>
        <v>0.31</v>
      </c>
      <c r="D90" s="1">
        <v>15701</v>
      </c>
      <c r="E90" s="3">
        <f>VLOOKUP("h2-txc"&amp;"-"&amp;D90,[1]flota_lineas_tp!$A$1:$F$65536,6,FALSE)</f>
        <v>0.5</v>
      </c>
      <c r="G90" s="1">
        <v>15701</v>
      </c>
      <c r="H90" s="3">
        <f>VLOOKUP("txc"&amp;"-"&amp;G90,[2]flota_lineas_tp!$A$1:$D$2000,4,FALSE)</f>
        <v>0.31</v>
      </c>
      <c r="J90" s="1">
        <v>15701</v>
      </c>
      <c r="K90" s="1">
        <f>VLOOKUP("txc"&amp;"-"&amp;J90,[3]flota_lineas_tp!$A$1:$D$2000,4,FALSE)</f>
        <v>0.34</v>
      </c>
      <c r="M90" s="1">
        <v>15701</v>
      </c>
    </row>
    <row r="91" spans="1:13" x14ac:dyDescent="0.2">
      <c r="A91" s="1">
        <v>15702</v>
      </c>
      <c r="B91" s="3">
        <f>VLOOKUP("h1-txc"&amp;"-"&amp;A91,[1]flota_lineas_tp!$A$1:$F$65536,6,FALSE)</f>
        <v>3.41</v>
      </c>
      <c r="D91" s="1">
        <v>15702</v>
      </c>
      <c r="E91" s="3">
        <f>VLOOKUP("h2-txc"&amp;"-"&amp;D91,[1]flota_lineas_tp!$A$1:$F$65536,6,FALSE)</f>
        <v>8.49</v>
      </c>
      <c r="G91" s="1">
        <v>15702</v>
      </c>
      <c r="H91" s="3">
        <f>VLOOKUP("txc"&amp;"-"&amp;G91,[2]flota_lineas_tp!$A$1:$D$2000,4,FALSE)</f>
        <v>4.4400000000000004</v>
      </c>
      <c r="J91" s="1">
        <v>15702</v>
      </c>
      <c r="K91" s="1">
        <f>VLOOKUP("txc"&amp;"-"&amp;J91,[3]flota_lineas_tp!$A$1:$D$2000,4,FALSE)</f>
        <v>5.54</v>
      </c>
      <c r="M91" s="1">
        <v>15702</v>
      </c>
    </row>
    <row r="92" spans="1:13" x14ac:dyDescent="0.2">
      <c r="A92" s="1">
        <v>16101</v>
      </c>
      <c r="B92" s="3">
        <f>VLOOKUP("h1-txc"&amp;"-"&amp;A92,[1]flota_lineas_tp!$A$1:$F$65536,6,FALSE)</f>
        <v>0.32</v>
      </c>
      <c r="D92" s="1">
        <v>16101</v>
      </c>
      <c r="E92" s="3">
        <f>VLOOKUP("h2-txc"&amp;"-"&amp;D92,[1]flota_lineas_tp!$A$1:$F$65536,6,FALSE)</f>
        <v>14.77</v>
      </c>
      <c r="G92" s="1">
        <v>16101</v>
      </c>
      <c r="H92" s="3">
        <f>VLOOKUP("txc"&amp;"-"&amp;G92,[2]flota_lineas_tp!$A$1:$D$2000,4,FALSE)</f>
        <v>0.33</v>
      </c>
      <c r="J92" s="1">
        <v>16101</v>
      </c>
      <c r="K92" s="1">
        <f>VLOOKUP("txc"&amp;"-"&amp;J92,[3]flota_lineas_tp!$A$1:$D$2000,4,FALSE)</f>
        <v>7.03</v>
      </c>
      <c r="M92" s="1">
        <v>16101</v>
      </c>
    </row>
    <row r="93" spans="1:13" x14ac:dyDescent="0.2">
      <c r="A93" s="1">
        <v>16102</v>
      </c>
      <c r="B93" s="3">
        <f>VLOOKUP("h1-txc"&amp;"-"&amp;A93,[1]flota_lineas_tp!$A$1:$F$65536,6,FALSE)</f>
        <v>0.26</v>
      </c>
      <c r="D93" s="1">
        <v>16102</v>
      </c>
      <c r="E93" s="3">
        <f>VLOOKUP("h2-txc"&amp;"-"&amp;D93,[1]flota_lineas_tp!$A$1:$F$65536,6,FALSE)</f>
        <v>5.72</v>
      </c>
      <c r="G93" s="1">
        <v>16102</v>
      </c>
      <c r="H93" s="3">
        <f>VLOOKUP("txc"&amp;"-"&amp;G93,[2]flota_lineas_tp!$A$1:$D$2000,4,FALSE)</f>
        <v>1.05</v>
      </c>
      <c r="J93" s="1">
        <v>16102</v>
      </c>
      <c r="K93" s="1">
        <f>VLOOKUP("txc"&amp;"-"&amp;J93,[3]flota_lineas_tp!$A$1:$D$2000,4,FALSE)</f>
        <v>5.65</v>
      </c>
      <c r="M93" s="1">
        <v>16102</v>
      </c>
    </row>
    <row r="94" spans="1:13" x14ac:dyDescent="0.2">
      <c r="A94" s="1">
        <v>16201</v>
      </c>
      <c r="B94" s="3">
        <f>VLOOKUP("h1-txc"&amp;"-"&amp;A94,[1]flota_lineas_tp!$A$1:$F$65536,6,FALSE)</f>
        <v>0.28999999999999998</v>
      </c>
      <c r="D94" s="1">
        <v>16201</v>
      </c>
      <c r="E94" s="3">
        <f>VLOOKUP("h2-txc"&amp;"-"&amp;D94,[1]flota_lineas_tp!$A$1:$F$65536,6,FALSE)</f>
        <v>0.39</v>
      </c>
      <c r="G94" s="1">
        <v>16201</v>
      </c>
      <c r="H94" s="3">
        <f>VLOOKUP("txc"&amp;"-"&amp;G94,[2]flota_lineas_tp!$A$1:$D$2000,4,FALSE)</f>
        <v>0.3</v>
      </c>
      <c r="J94" s="1">
        <v>16201</v>
      </c>
      <c r="K94" s="1">
        <f>VLOOKUP("txc"&amp;"-"&amp;J94,[3]flota_lineas_tp!$A$1:$D$2000,4,FALSE)</f>
        <v>0.31</v>
      </c>
      <c r="M94" s="1">
        <v>16201</v>
      </c>
    </row>
    <row r="95" spans="1:13" x14ac:dyDescent="0.2">
      <c r="A95" s="1">
        <v>16202</v>
      </c>
      <c r="B95" s="3">
        <f>VLOOKUP("h1-txc"&amp;"-"&amp;A95,[1]flota_lineas_tp!$A$1:$F$65536,6,FALSE)</f>
        <v>0.28999999999999998</v>
      </c>
      <c r="D95" s="1">
        <v>16202</v>
      </c>
      <c r="E95" s="3">
        <f>VLOOKUP("h2-txc"&amp;"-"&amp;D95,[1]flota_lineas_tp!$A$1:$F$65536,6,FALSE)</f>
        <v>2.21</v>
      </c>
      <c r="G95" s="1">
        <v>16202</v>
      </c>
      <c r="H95" s="3">
        <f>VLOOKUP("txc"&amp;"-"&amp;G95,[2]flota_lineas_tp!$A$1:$D$2000,4,FALSE)</f>
        <v>4.53</v>
      </c>
      <c r="J95" s="1">
        <v>16202</v>
      </c>
      <c r="K95" s="1">
        <f>VLOOKUP("txc"&amp;"-"&amp;J95,[3]flota_lineas_tp!$A$1:$D$2000,4,FALSE)</f>
        <v>10.74</v>
      </c>
      <c r="M95" s="1">
        <v>16202</v>
      </c>
    </row>
    <row r="96" spans="1:13" x14ac:dyDescent="0.2">
      <c r="A96" s="1">
        <v>16601</v>
      </c>
      <c r="B96" s="3">
        <f>VLOOKUP("h1-txc"&amp;"-"&amp;A96,[1]flota_lineas_tp!$A$1:$F$65536,6,FALSE)</f>
        <v>2.61</v>
      </c>
      <c r="D96" s="1">
        <v>16601</v>
      </c>
      <c r="E96" s="3">
        <f>VLOOKUP("h2-txc"&amp;"-"&amp;D96,[1]flota_lineas_tp!$A$1:$F$65536,6,FALSE)</f>
        <v>19.95</v>
      </c>
      <c r="G96" s="1">
        <v>16601</v>
      </c>
      <c r="H96" s="3">
        <f>VLOOKUP("txc"&amp;"-"&amp;G96,[2]flota_lineas_tp!$A$1:$D$2000,4,FALSE)</f>
        <v>7.65</v>
      </c>
      <c r="J96" s="1">
        <v>16601</v>
      </c>
      <c r="K96" s="1">
        <f>VLOOKUP("txc"&amp;"-"&amp;J96,[3]flota_lineas_tp!$A$1:$D$2000,4,FALSE)</f>
        <v>3.6</v>
      </c>
      <c r="M96" s="1">
        <v>16601</v>
      </c>
    </row>
    <row r="97" spans="1:13" x14ac:dyDescent="0.2">
      <c r="A97" s="1">
        <v>16602</v>
      </c>
      <c r="B97" s="3">
        <f>VLOOKUP("h1-txc"&amp;"-"&amp;A97,[1]flota_lineas_tp!$A$1:$F$65536,6,FALSE)</f>
        <v>3.28</v>
      </c>
      <c r="D97" s="1">
        <v>16602</v>
      </c>
      <c r="E97" s="3">
        <f>VLOOKUP("h2-txc"&amp;"-"&amp;D97,[1]flota_lineas_tp!$A$1:$F$65536,6,FALSE)</f>
        <v>6.03</v>
      </c>
      <c r="G97" s="1">
        <v>16602</v>
      </c>
      <c r="H97" s="3">
        <f>VLOOKUP("txc"&amp;"-"&amp;G97,[2]flota_lineas_tp!$A$1:$D$2000,4,FALSE)</f>
        <v>4.32</v>
      </c>
      <c r="J97" s="1">
        <v>16602</v>
      </c>
      <c r="K97" s="1">
        <f>VLOOKUP("txc"&amp;"-"&amp;J97,[3]flota_lineas_tp!$A$1:$D$2000,4,FALSE)</f>
        <v>19.989999999999998</v>
      </c>
      <c r="M97" s="1">
        <v>16602</v>
      </c>
    </row>
    <row r="98" spans="1:13" x14ac:dyDescent="0.2">
      <c r="A98" s="1">
        <v>16801</v>
      </c>
      <c r="B98" s="3">
        <f>VLOOKUP("h1-txc"&amp;"-"&amp;A98,[1]flota_lineas_tp!$A$1:$F$65536,6,FALSE)</f>
        <v>1.92</v>
      </c>
      <c r="D98" s="1">
        <v>16801</v>
      </c>
      <c r="E98" s="3">
        <f>VLOOKUP("h2-txc"&amp;"-"&amp;D98,[1]flota_lineas_tp!$A$1:$F$65536,6,FALSE)</f>
        <v>3.73</v>
      </c>
      <c r="G98" s="1">
        <v>16801</v>
      </c>
      <c r="H98" s="3">
        <f>VLOOKUP("txc"&amp;"-"&amp;G98,[2]flota_lineas_tp!$A$1:$D$2000,4,FALSE)</f>
        <v>0.73</v>
      </c>
      <c r="J98" s="1">
        <v>16801</v>
      </c>
      <c r="K98" s="1">
        <f>VLOOKUP("txc"&amp;"-"&amp;J98,[3]flota_lineas_tp!$A$1:$D$2000,4,FALSE)</f>
        <v>0.11</v>
      </c>
      <c r="M98" s="1">
        <v>16801</v>
      </c>
    </row>
    <row r="99" spans="1:13" x14ac:dyDescent="0.2">
      <c r="A99" s="1">
        <v>16802</v>
      </c>
      <c r="B99" s="3">
        <f>VLOOKUP("h1-txc"&amp;"-"&amp;A99,[1]flota_lineas_tp!$A$1:$F$65536,6,FALSE)</f>
        <v>1.44</v>
      </c>
      <c r="D99" s="1">
        <v>16802</v>
      </c>
      <c r="E99" s="3">
        <f>VLOOKUP("h2-txc"&amp;"-"&amp;D99,[1]flota_lineas_tp!$A$1:$F$65536,6,FALSE)</f>
        <v>2.0499999999999998</v>
      </c>
      <c r="G99" s="1">
        <v>16802</v>
      </c>
      <c r="H99" s="3">
        <f>VLOOKUP("txc"&amp;"-"&amp;G99,[2]flota_lineas_tp!$A$1:$D$2000,4,FALSE)</f>
        <v>0.21</v>
      </c>
      <c r="J99" s="1">
        <v>16802</v>
      </c>
      <c r="K99" s="1">
        <f>VLOOKUP("txc"&amp;"-"&amp;J99,[3]flota_lineas_tp!$A$1:$D$2000,4,FALSE)</f>
        <v>1.43</v>
      </c>
      <c r="M99" s="1">
        <v>16802</v>
      </c>
    </row>
    <row r="100" spans="1:13" x14ac:dyDescent="0.2">
      <c r="A100" s="1">
        <v>16901</v>
      </c>
      <c r="B100" s="3">
        <f>VLOOKUP("h1-txc"&amp;"-"&amp;A100,[1]flota_lineas_tp!$A$1:$F$65536,6,FALSE)</f>
        <v>0.39</v>
      </c>
      <c r="D100" s="1">
        <v>16901</v>
      </c>
      <c r="E100" s="3">
        <f>VLOOKUP("h2-txc"&amp;"-"&amp;D100,[1]flota_lineas_tp!$A$1:$F$65536,6,FALSE)</f>
        <v>3.86</v>
      </c>
      <c r="G100" s="1">
        <v>16901</v>
      </c>
      <c r="H100" s="3">
        <f>VLOOKUP("txc"&amp;"-"&amp;G100,[2]flota_lineas_tp!$A$1:$D$2000,4,FALSE)</f>
        <v>1.07</v>
      </c>
      <c r="J100" s="1">
        <v>16901</v>
      </c>
      <c r="K100" s="1">
        <f>VLOOKUP("txc"&amp;"-"&amp;J100,[3]flota_lineas_tp!$A$1:$D$2000,4,FALSE)</f>
        <v>0.18</v>
      </c>
      <c r="M100" s="1">
        <v>16901</v>
      </c>
    </row>
    <row r="101" spans="1:13" x14ac:dyDescent="0.2">
      <c r="A101" s="1">
        <v>16902</v>
      </c>
      <c r="B101" s="3">
        <f>VLOOKUP("h1-txc"&amp;"-"&amp;A101,[1]flota_lineas_tp!$A$1:$F$65536,6,FALSE)</f>
        <v>0.14000000000000001</v>
      </c>
      <c r="D101" s="1">
        <v>16902</v>
      </c>
      <c r="E101" s="3">
        <f>VLOOKUP("h2-txc"&amp;"-"&amp;D101,[1]flota_lineas_tp!$A$1:$F$65536,6,FALSE)</f>
        <v>3.4</v>
      </c>
      <c r="G101" s="1">
        <v>16902</v>
      </c>
      <c r="H101" s="3">
        <f>VLOOKUP("txc"&amp;"-"&amp;G101,[2]flota_lineas_tp!$A$1:$D$2000,4,FALSE)</f>
        <v>1.32</v>
      </c>
      <c r="J101" s="1">
        <v>16902</v>
      </c>
      <c r="K101" s="1">
        <f>VLOOKUP("txc"&amp;"-"&amp;J101,[3]flota_lineas_tp!$A$1:$D$2000,4,FALSE)</f>
        <v>0.78</v>
      </c>
      <c r="M101" s="1">
        <v>16902</v>
      </c>
    </row>
    <row r="102" spans="1:13" x14ac:dyDescent="0.2">
      <c r="A102" s="1">
        <v>1701</v>
      </c>
      <c r="B102" s="3">
        <f>VLOOKUP("h1-txc"&amp;"-"&amp;A102,[1]flota_lineas_tp!$A$1:$F$65536,6,FALSE)</f>
        <v>0.11</v>
      </c>
      <c r="D102" s="1">
        <v>1701</v>
      </c>
      <c r="E102" s="3">
        <f>VLOOKUP("h2-txc"&amp;"-"&amp;D102,[1]flota_lineas_tp!$A$1:$F$65536,6,FALSE)</f>
        <v>0.21</v>
      </c>
      <c r="G102" s="1">
        <v>1701</v>
      </c>
      <c r="H102" s="3">
        <f>VLOOKUP("txc"&amp;"-"&amp;G102,[2]flota_lineas_tp!$A$1:$D$2000,4,FALSE)</f>
        <v>0.1</v>
      </c>
      <c r="J102" s="1">
        <v>1701</v>
      </c>
      <c r="K102" s="1">
        <f>VLOOKUP("txc"&amp;"-"&amp;J102,[3]flota_lineas_tp!$A$1:$D$2000,4,FALSE)</f>
        <v>1.06</v>
      </c>
      <c r="M102" s="1">
        <v>1701</v>
      </c>
    </row>
    <row r="103" spans="1:13" x14ac:dyDescent="0.2">
      <c r="A103" s="1">
        <v>1702</v>
      </c>
      <c r="B103" s="3">
        <f>VLOOKUP("h1-txc"&amp;"-"&amp;A103,[1]flota_lineas_tp!$A$1:$F$65536,6,FALSE)</f>
        <v>0.14000000000000001</v>
      </c>
      <c r="D103" s="1">
        <v>1702</v>
      </c>
      <c r="E103" s="3">
        <f>VLOOKUP("h2-txc"&amp;"-"&amp;D103,[1]flota_lineas_tp!$A$1:$F$65536,6,FALSE)</f>
        <v>0.14000000000000001</v>
      </c>
      <c r="G103" s="1">
        <v>1702</v>
      </c>
      <c r="H103" s="3">
        <f>VLOOKUP("txc"&amp;"-"&amp;G103,[2]flota_lineas_tp!$A$1:$D$2000,4,FALSE)</f>
        <v>0.14000000000000001</v>
      </c>
      <c r="J103" s="1">
        <v>1702</v>
      </c>
      <c r="K103" s="1">
        <f>VLOOKUP("txc"&amp;"-"&amp;J103,[3]flota_lineas_tp!$A$1:$D$2000,4,FALSE)</f>
        <v>0.67</v>
      </c>
      <c r="M103" s="1">
        <v>1702</v>
      </c>
    </row>
    <row r="104" spans="1:13" x14ac:dyDescent="0.2">
      <c r="A104" s="1">
        <v>1711</v>
      </c>
      <c r="B104" s="3">
        <f>VLOOKUP("h1-txc"&amp;"-"&amp;A104,[1]flota_lineas_tp!$A$1:$F$65536,6,FALSE)</f>
        <v>0.11</v>
      </c>
      <c r="D104" s="1">
        <v>1711</v>
      </c>
      <c r="E104" s="3">
        <f>VLOOKUP("h2-txc"&amp;"-"&amp;D104,[1]flota_lineas_tp!$A$1:$F$65536,6,FALSE)</f>
        <v>0.21</v>
      </c>
      <c r="G104" s="1">
        <v>1711</v>
      </c>
      <c r="H104" s="3">
        <f>VLOOKUP("txc"&amp;"-"&amp;G104,[2]flota_lineas_tp!$A$1:$D$2000,4,FALSE)</f>
        <v>0.1</v>
      </c>
      <c r="J104" s="1">
        <v>1711</v>
      </c>
      <c r="K104" s="1">
        <f>VLOOKUP("txc"&amp;"-"&amp;J104,[3]flota_lineas_tp!$A$1:$D$2000,4,FALSE)</f>
        <v>0.91</v>
      </c>
      <c r="M104" s="1">
        <v>1711</v>
      </c>
    </row>
    <row r="105" spans="1:13" x14ac:dyDescent="0.2">
      <c r="A105" s="1">
        <v>1712</v>
      </c>
      <c r="B105" s="3">
        <f>VLOOKUP("h1-txc"&amp;"-"&amp;A105,[1]flota_lineas_tp!$A$1:$F$65536,6,FALSE)</f>
        <v>6.75</v>
      </c>
      <c r="D105" s="1">
        <v>1712</v>
      </c>
      <c r="E105" s="3">
        <f>VLOOKUP("h2-txc"&amp;"-"&amp;D105,[1]flota_lineas_tp!$A$1:$F$65536,6,FALSE)</f>
        <v>7.51</v>
      </c>
      <c r="G105" s="1">
        <v>1712</v>
      </c>
      <c r="H105" s="3">
        <f>VLOOKUP("txc"&amp;"-"&amp;G105,[2]flota_lineas_tp!$A$1:$D$2000,4,FALSE)</f>
        <v>3.18</v>
      </c>
      <c r="J105" s="1">
        <v>1712</v>
      </c>
      <c r="K105" s="1">
        <f>VLOOKUP("txc"&amp;"-"&amp;J105,[3]flota_lineas_tp!$A$1:$D$2000,4,FALSE)</f>
        <v>5.99</v>
      </c>
      <c r="M105" s="1">
        <v>1712</v>
      </c>
    </row>
    <row r="106" spans="1:13" x14ac:dyDescent="0.2">
      <c r="A106" s="1">
        <v>1801</v>
      </c>
      <c r="B106" s="3">
        <f>VLOOKUP("h1-txc"&amp;"-"&amp;A106,[1]flota_lineas_tp!$A$1:$F$65536,6,FALSE)</f>
        <v>0.22</v>
      </c>
      <c r="D106" s="1">
        <v>1801</v>
      </c>
      <c r="E106" s="3">
        <f>VLOOKUP("h2-txc"&amp;"-"&amp;D106,[1]flota_lineas_tp!$A$1:$F$65536,6,FALSE)</f>
        <v>0.37</v>
      </c>
      <c r="G106" s="1">
        <v>1801</v>
      </c>
      <c r="H106" s="3">
        <f>VLOOKUP("txc"&amp;"-"&amp;G106,[2]flota_lineas_tp!$A$1:$D$2000,4,FALSE)</f>
        <v>2.5499999999999998</v>
      </c>
      <c r="J106" s="1">
        <v>1801</v>
      </c>
      <c r="K106" s="1">
        <f>VLOOKUP("txc"&amp;"-"&amp;J106,[3]flota_lineas_tp!$A$1:$D$2000,4,FALSE)</f>
        <v>0.75</v>
      </c>
      <c r="M106" s="1">
        <v>1801</v>
      </c>
    </row>
    <row r="107" spans="1:13" x14ac:dyDescent="0.2">
      <c r="A107" s="1">
        <v>1802</v>
      </c>
      <c r="B107" s="3">
        <f>VLOOKUP("h1-txc"&amp;"-"&amp;A107,[1]flota_lineas_tp!$A$1:$F$65536,6,FALSE)</f>
        <v>2.74</v>
      </c>
      <c r="D107" s="1">
        <v>1802</v>
      </c>
      <c r="E107" s="3">
        <f>VLOOKUP("h2-txc"&amp;"-"&amp;D107,[1]flota_lineas_tp!$A$1:$F$65536,6,FALSE)</f>
        <v>3.04</v>
      </c>
      <c r="G107" s="1">
        <v>1802</v>
      </c>
      <c r="H107" s="3">
        <f>VLOOKUP("txc"&amp;"-"&amp;G107,[2]flota_lineas_tp!$A$1:$D$2000,4,FALSE)</f>
        <v>2.9</v>
      </c>
      <c r="J107" s="1">
        <v>1802</v>
      </c>
      <c r="K107" s="1">
        <f>VLOOKUP("txc"&amp;"-"&amp;J107,[3]flota_lineas_tp!$A$1:$D$2000,4,FALSE)</f>
        <v>3.42</v>
      </c>
      <c r="M107" s="1">
        <v>1802</v>
      </c>
    </row>
    <row r="108" spans="1:13" x14ac:dyDescent="0.2">
      <c r="A108" s="1">
        <v>18511</v>
      </c>
      <c r="B108" s="3">
        <f>VLOOKUP("h1-txc"&amp;"-"&amp;A108,[1]flota_lineas_tp!$A$1:$F$65536,6,FALSE)</f>
        <v>0.16</v>
      </c>
      <c r="D108" s="1">
        <v>18511</v>
      </c>
      <c r="E108" s="3">
        <f>VLOOKUP("h2-txc"&amp;"-"&amp;D108,[1]flota_lineas_tp!$A$1:$F$65536,6,FALSE)</f>
        <v>3.32</v>
      </c>
      <c r="G108" s="1">
        <v>18511</v>
      </c>
      <c r="H108" s="3">
        <f>VLOOKUP("txc"&amp;"-"&amp;G108,[2]flota_lineas_tp!$A$1:$D$2000,4,FALSE)</f>
        <v>1.88</v>
      </c>
      <c r="J108" s="1">
        <v>18511</v>
      </c>
      <c r="K108" s="1">
        <f>VLOOKUP("txc"&amp;"-"&amp;J108,[3]flota_lineas_tp!$A$1:$D$2000,4,FALSE)</f>
        <v>1.98</v>
      </c>
      <c r="M108" s="1">
        <v>18511</v>
      </c>
    </row>
    <row r="109" spans="1:13" x14ac:dyDescent="0.2">
      <c r="A109" s="1">
        <v>18512</v>
      </c>
      <c r="B109" s="3">
        <f>VLOOKUP("h1-txc"&amp;"-"&amp;A109,[1]flota_lineas_tp!$A$1:$F$65536,6,FALSE)</f>
        <v>0.2</v>
      </c>
      <c r="D109" s="1">
        <v>18512</v>
      </c>
      <c r="E109" s="3">
        <f>VLOOKUP("h2-txc"&amp;"-"&amp;D109,[1]flota_lineas_tp!$A$1:$F$65536,6,FALSE)</f>
        <v>4.29</v>
      </c>
      <c r="G109" s="1">
        <v>18512</v>
      </c>
      <c r="H109" s="3">
        <f>VLOOKUP("txc"&amp;"-"&amp;G109,[2]flota_lineas_tp!$A$1:$D$2000,4,FALSE)</f>
        <v>2.52</v>
      </c>
      <c r="J109" s="1">
        <v>18512</v>
      </c>
      <c r="K109" s="1">
        <f>VLOOKUP("txc"&amp;"-"&amp;J109,[3]flota_lineas_tp!$A$1:$D$2000,4,FALSE)</f>
        <v>2.48</v>
      </c>
      <c r="M109" s="1">
        <v>18512</v>
      </c>
    </row>
    <row r="110" spans="1:13" x14ac:dyDescent="0.2">
      <c r="A110" s="1">
        <v>18501</v>
      </c>
      <c r="B110" s="3">
        <f>VLOOKUP("h1-txc"&amp;"-"&amp;A110,[1]flota_lineas_tp!$A$1:$F$65536,6,FALSE)</f>
        <v>3.76</v>
      </c>
      <c r="D110" s="1">
        <v>18501</v>
      </c>
      <c r="E110" s="3">
        <f>VLOOKUP("h2-txc"&amp;"-"&amp;D110,[1]flota_lineas_tp!$A$1:$F$65536,6,FALSE)</f>
        <v>0.69</v>
      </c>
      <c r="G110" s="1">
        <v>18501</v>
      </c>
      <c r="H110" s="3">
        <f>VLOOKUP("txc"&amp;"-"&amp;G110,[2]flota_lineas_tp!$A$1:$D$2000,4,FALSE)</f>
        <v>0.28000000000000003</v>
      </c>
      <c r="J110" s="1">
        <v>18501</v>
      </c>
      <c r="K110" s="1">
        <f>VLOOKUP("txc"&amp;"-"&amp;J110,[3]flota_lineas_tp!$A$1:$D$2000,4,FALSE)</f>
        <v>0.23</v>
      </c>
      <c r="M110" s="1">
        <v>18501</v>
      </c>
    </row>
    <row r="111" spans="1:13" x14ac:dyDescent="0.2">
      <c r="A111" s="1">
        <v>18502</v>
      </c>
      <c r="B111" s="3">
        <f>VLOOKUP("h1-txc"&amp;"-"&amp;A111,[1]flota_lineas_tp!$A$1:$F$65536,6,FALSE)</f>
        <v>0.21</v>
      </c>
      <c r="D111" s="1">
        <v>18502</v>
      </c>
      <c r="E111" s="3">
        <f>VLOOKUP("h2-txc"&amp;"-"&amp;D111,[1]flota_lineas_tp!$A$1:$F$65536,6,FALSE)</f>
        <v>6.27</v>
      </c>
      <c r="G111" s="1">
        <v>18502</v>
      </c>
      <c r="H111" s="3">
        <f>VLOOKUP("txc"&amp;"-"&amp;G111,[2]flota_lineas_tp!$A$1:$D$2000,4,FALSE)</f>
        <v>0.25</v>
      </c>
      <c r="J111" s="1">
        <v>18502</v>
      </c>
      <c r="K111" s="1">
        <f>VLOOKUP("txc"&amp;"-"&amp;J111,[3]flota_lineas_tp!$A$1:$D$2000,4,FALSE)</f>
        <v>0.18</v>
      </c>
      <c r="M111" s="1">
        <v>18502</v>
      </c>
    </row>
    <row r="112" spans="1:13" x14ac:dyDescent="0.2">
      <c r="A112" s="1">
        <v>18801</v>
      </c>
      <c r="B112" s="3">
        <f>VLOOKUP("h1-txc"&amp;"-"&amp;A112,[1]flota_lineas_tp!$A$1:$F$65536,6,FALSE)</f>
        <v>7.89</v>
      </c>
      <c r="D112" s="1">
        <v>18801</v>
      </c>
      <c r="E112" s="3">
        <f>VLOOKUP("h2-txc"&amp;"-"&amp;D112,[1]flota_lineas_tp!$A$1:$F$65536,6,FALSE)</f>
        <v>30.26</v>
      </c>
      <c r="G112" s="1">
        <v>18801</v>
      </c>
      <c r="H112" s="3">
        <f>VLOOKUP("txc"&amp;"-"&amp;G112,[2]flota_lineas_tp!$A$1:$D$2000,4,FALSE)</f>
        <v>0.95</v>
      </c>
      <c r="J112" s="1">
        <v>18801</v>
      </c>
      <c r="K112" s="1">
        <f>VLOOKUP("txc"&amp;"-"&amp;J112,[3]flota_lineas_tp!$A$1:$D$2000,4,FALSE)</f>
        <v>1.03</v>
      </c>
      <c r="M112" s="1">
        <v>18801</v>
      </c>
    </row>
    <row r="113" spans="1:13" x14ac:dyDescent="0.2">
      <c r="A113" s="1">
        <v>18802</v>
      </c>
      <c r="B113" s="3">
        <f>VLOOKUP("h1-txc"&amp;"-"&amp;A113,[1]flota_lineas_tp!$A$1:$F$65536,6,FALSE)</f>
        <v>4.8099999999999996</v>
      </c>
      <c r="D113" s="1">
        <v>18802</v>
      </c>
      <c r="E113" s="3">
        <f>VLOOKUP("h2-txc"&amp;"-"&amp;D113,[1]flota_lineas_tp!$A$1:$F$65536,6,FALSE)</f>
        <v>0.35</v>
      </c>
      <c r="G113" s="1">
        <v>18802</v>
      </c>
      <c r="H113" s="3">
        <f>VLOOKUP("txc"&amp;"-"&amp;G113,[2]flota_lineas_tp!$A$1:$D$2000,4,FALSE)</f>
        <v>7.44</v>
      </c>
      <c r="J113" s="1">
        <v>18802</v>
      </c>
      <c r="K113" s="1">
        <f>VLOOKUP("txc"&amp;"-"&amp;J113,[3]flota_lineas_tp!$A$1:$D$2000,4,FALSE)</f>
        <v>8.4</v>
      </c>
      <c r="M113" s="1">
        <v>18802</v>
      </c>
    </row>
    <row r="114" spans="1:13" x14ac:dyDescent="0.2">
      <c r="A114" s="1">
        <v>1901</v>
      </c>
      <c r="B114" s="3">
        <f>VLOOKUP("h1-txc"&amp;"-"&amp;A114,[1]flota_lineas_tp!$A$1:$F$65536,6,FALSE)</f>
        <v>0.49</v>
      </c>
      <c r="D114" s="1">
        <v>1901</v>
      </c>
      <c r="E114" s="3">
        <f>VLOOKUP("h2-txc"&amp;"-"&amp;D114,[1]flota_lineas_tp!$A$1:$F$65536,6,FALSE)</f>
        <v>0.67</v>
      </c>
      <c r="G114" s="1">
        <v>1901</v>
      </c>
      <c r="H114" s="3">
        <f>VLOOKUP("txc"&amp;"-"&amp;G114,[2]flota_lineas_tp!$A$1:$D$2000,4,FALSE)</f>
        <v>1.19</v>
      </c>
      <c r="J114" s="1">
        <v>1901</v>
      </c>
      <c r="K114" s="1">
        <f>VLOOKUP("txc"&amp;"-"&amp;J114,[3]flota_lineas_tp!$A$1:$D$2000,4,FALSE)</f>
        <v>0.96</v>
      </c>
      <c r="M114" s="1">
        <v>1901</v>
      </c>
    </row>
    <row r="115" spans="1:13" x14ac:dyDescent="0.2">
      <c r="A115" s="1">
        <v>1902</v>
      </c>
      <c r="B115" s="3">
        <f>VLOOKUP("h1-txc"&amp;"-"&amp;A115,[1]flota_lineas_tp!$A$1:$F$65536,6,FALSE)</f>
        <v>0.42</v>
      </c>
      <c r="D115" s="1">
        <v>1902</v>
      </c>
      <c r="E115" s="3">
        <f>VLOOKUP("h2-txc"&amp;"-"&amp;D115,[1]flota_lineas_tp!$A$1:$F$65536,6,FALSE)</f>
        <v>0.54</v>
      </c>
      <c r="G115" s="1">
        <v>1902</v>
      </c>
      <c r="H115" s="3">
        <f>VLOOKUP("txc"&amp;"-"&amp;G115,[2]flota_lineas_tp!$A$1:$D$2000,4,FALSE)</f>
        <v>0.95</v>
      </c>
      <c r="J115" s="1">
        <v>1902</v>
      </c>
      <c r="K115" s="1">
        <f>VLOOKUP("txc"&amp;"-"&amp;J115,[3]flota_lineas_tp!$A$1:$D$2000,4,FALSE)</f>
        <v>5.83</v>
      </c>
      <c r="M115" s="1">
        <v>1902</v>
      </c>
    </row>
    <row r="116" spans="1:13" x14ac:dyDescent="0.2">
      <c r="A116" s="1">
        <v>201</v>
      </c>
      <c r="B116" s="3">
        <f>VLOOKUP("h1-txc"&amp;"-"&amp;A116,[1]flota_lineas_tp!$A$1:$F$65536,6,FALSE)</f>
        <v>3.05</v>
      </c>
      <c r="D116" s="1">
        <v>201</v>
      </c>
      <c r="E116" s="3">
        <f>VLOOKUP("h2-txc"&amp;"-"&amp;D116,[1]flota_lineas_tp!$A$1:$F$65536,6,FALSE)</f>
        <v>40.56</v>
      </c>
      <c r="G116" s="1">
        <v>201</v>
      </c>
      <c r="H116" s="3">
        <f>VLOOKUP("txc"&amp;"-"&amp;G116,[2]flota_lineas_tp!$A$1:$D$2000,4,FALSE)</f>
        <v>1.23</v>
      </c>
      <c r="J116" s="1">
        <v>201</v>
      </c>
      <c r="K116" s="1">
        <f>VLOOKUP("txc"&amp;"-"&amp;J116,[3]flota_lineas_tp!$A$1:$D$2000,4,FALSE)</f>
        <v>3.03</v>
      </c>
      <c r="M116" s="1">
        <v>201</v>
      </c>
    </row>
    <row r="117" spans="1:13" x14ac:dyDescent="0.2">
      <c r="A117" s="1">
        <v>202</v>
      </c>
      <c r="B117" s="3">
        <f>VLOOKUP("h1-txc"&amp;"-"&amp;A117,[1]flota_lineas_tp!$A$1:$F$65536,6,FALSE)</f>
        <v>2.2200000000000002</v>
      </c>
      <c r="D117" s="1">
        <v>202</v>
      </c>
      <c r="E117" s="3">
        <f>VLOOKUP("h2-txc"&amp;"-"&amp;D117,[1]flota_lineas_tp!$A$1:$F$65536,6,FALSE)</f>
        <v>7.89</v>
      </c>
      <c r="G117" s="1">
        <v>202</v>
      </c>
      <c r="H117" s="3">
        <f>VLOOKUP("txc"&amp;"-"&amp;G117,[2]flota_lineas_tp!$A$1:$D$2000,4,FALSE)</f>
        <v>14.33</v>
      </c>
      <c r="J117" s="1">
        <v>202</v>
      </c>
      <c r="K117" s="1">
        <f>VLOOKUP("txc"&amp;"-"&amp;J117,[3]flota_lineas_tp!$A$1:$D$2000,4,FALSE)</f>
        <v>0.62</v>
      </c>
      <c r="M117" s="1">
        <v>202</v>
      </c>
    </row>
    <row r="118" spans="1:13" x14ac:dyDescent="0.2">
      <c r="A118" s="1">
        <v>2001</v>
      </c>
      <c r="B118" s="3">
        <f>VLOOKUP("h1-txc"&amp;"-"&amp;A118,[1]flota_lineas_tp!$A$1:$F$65536,6,FALSE)</f>
        <v>5.51</v>
      </c>
      <c r="D118" s="1">
        <v>2001</v>
      </c>
      <c r="E118" s="3">
        <f>VLOOKUP("h2-txc"&amp;"-"&amp;D118,[1]flota_lineas_tp!$A$1:$F$65536,6,FALSE)</f>
        <v>2.72</v>
      </c>
      <c r="G118" s="1">
        <v>2001</v>
      </c>
      <c r="H118" s="3">
        <f>VLOOKUP("txc"&amp;"-"&amp;G118,[2]flota_lineas_tp!$A$1:$D$2000,4,FALSE)</f>
        <v>0.39</v>
      </c>
      <c r="J118" s="1">
        <v>2001</v>
      </c>
      <c r="K118" s="1">
        <f>VLOOKUP("txc"&amp;"-"&amp;J118,[3]flota_lineas_tp!$A$1:$D$2000,4,FALSE)</f>
        <v>4.1100000000000003</v>
      </c>
      <c r="M118" s="1">
        <v>2001</v>
      </c>
    </row>
    <row r="119" spans="1:13" x14ac:dyDescent="0.2">
      <c r="A119" s="1">
        <v>2002</v>
      </c>
      <c r="B119" s="3">
        <f>VLOOKUP("h1-txc"&amp;"-"&amp;A119,[1]flota_lineas_tp!$A$1:$F$65536,6,FALSE)</f>
        <v>0.7</v>
      </c>
      <c r="D119" s="1">
        <v>2002</v>
      </c>
      <c r="E119" s="3">
        <f>VLOOKUP("h2-txc"&amp;"-"&amp;D119,[1]flota_lineas_tp!$A$1:$F$65536,6,FALSE)</f>
        <v>0.45</v>
      </c>
      <c r="G119" s="1">
        <v>2002</v>
      </c>
      <c r="H119" s="3">
        <f>VLOOKUP("txc"&amp;"-"&amp;G119,[2]flota_lineas_tp!$A$1:$D$2000,4,FALSE)</f>
        <v>5.24</v>
      </c>
      <c r="J119" s="1">
        <v>2002</v>
      </c>
      <c r="K119" s="1">
        <f>VLOOKUP("txc"&amp;"-"&amp;J119,[3]flota_lineas_tp!$A$1:$D$2000,4,FALSE)</f>
        <v>20.9</v>
      </c>
      <c r="M119" s="1">
        <v>2002</v>
      </c>
    </row>
    <row r="120" spans="1:13" x14ac:dyDescent="0.2">
      <c r="A120" s="1">
        <v>20011</v>
      </c>
      <c r="B120" s="3">
        <f>VLOOKUP("h1-txc"&amp;"-"&amp;A120,[1]flota_lineas_tp!$A$1:$F$65536,6,FALSE)</f>
        <v>3.03</v>
      </c>
      <c r="D120" s="1">
        <v>20011</v>
      </c>
      <c r="E120" s="3">
        <f>VLOOKUP("h2-txc"&amp;"-"&amp;D120,[1]flota_lineas_tp!$A$1:$F$65536,6,FALSE)</f>
        <v>1.97</v>
      </c>
      <c r="G120" s="1">
        <v>20011</v>
      </c>
      <c r="H120" s="3">
        <f>VLOOKUP("txc"&amp;"-"&amp;G120,[2]flota_lineas_tp!$A$1:$D$2000,4,FALSE)</f>
        <v>22.08</v>
      </c>
      <c r="J120" s="1">
        <v>20011</v>
      </c>
      <c r="K120" s="1">
        <f>VLOOKUP("txc"&amp;"-"&amp;J120,[3]flota_lineas_tp!$A$1:$D$2000,4,FALSE)</f>
        <v>4.6500000000000004</v>
      </c>
      <c r="M120" s="1">
        <v>20011</v>
      </c>
    </row>
    <row r="121" spans="1:13" x14ac:dyDescent="0.2">
      <c r="A121" s="1">
        <v>20012</v>
      </c>
      <c r="B121" s="3">
        <f>VLOOKUP("h1-txc"&amp;"-"&amp;A121,[1]flota_lineas_tp!$A$1:$F$65536,6,FALSE)</f>
        <v>0.49</v>
      </c>
      <c r="D121" s="1">
        <v>20012</v>
      </c>
      <c r="E121" s="3">
        <f>VLOOKUP("h2-txc"&amp;"-"&amp;D121,[1]flota_lineas_tp!$A$1:$F$65536,6,FALSE)</f>
        <v>2.7</v>
      </c>
      <c r="G121" s="1">
        <v>20012</v>
      </c>
      <c r="H121" s="3">
        <f>VLOOKUP("txc"&amp;"-"&amp;G121,[2]flota_lineas_tp!$A$1:$D$2000,4,FALSE)</f>
        <v>0.54</v>
      </c>
      <c r="J121" s="1">
        <v>20012</v>
      </c>
      <c r="K121" s="1">
        <f>VLOOKUP("txc"&amp;"-"&amp;J121,[3]flota_lineas_tp!$A$1:$D$2000,4,FALSE)</f>
        <v>11.13</v>
      </c>
      <c r="M121" s="1">
        <v>20012</v>
      </c>
    </row>
    <row r="122" spans="1:13" x14ac:dyDescent="0.2">
      <c r="A122" s="1">
        <v>20001</v>
      </c>
      <c r="B122" s="3">
        <f>VLOOKUP("h1-txc"&amp;"-"&amp;A122,[1]flota_lineas_tp!$A$1:$F$65536,6,FALSE)</f>
        <v>0.77</v>
      </c>
      <c r="D122" s="1">
        <v>20001</v>
      </c>
      <c r="E122" s="3">
        <f>VLOOKUP("h2-txc"&amp;"-"&amp;D122,[1]flota_lineas_tp!$A$1:$F$65536,6,FALSE)</f>
        <v>12.18</v>
      </c>
      <c r="G122" s="1">
        <v>20001</v>
      </c>
      <c r="H122" s="3">
        <f>VLOOKUP("txc"&amp;"-"&amp;G122,[2]flota_lineas_tp!$A$1:$D$2000,4,FALSE)</f>
        <v>0.49</v>
      </c>
      <c r="J122" s="1">
        <v>20001</v>
      </c>
      <c r="K122" s="1">
        <f>VLOOKUP("txc"&amp;"-"&amp;J122,[3]flota_lineas_tp!$A$1:$D$2000,4,FALSE)</f>
        <v>0.52</v>
      </c>
      <c r="M122" s="1">
        <v>20001</v>
      </c>
    </row>
    <row r="123" spans="1:13" x14ac:dyDescent="0.2">
      <c r="A123" s="1">
        <v>20002</v>
      </c>
      <c r="B123" s="3">
        <f>VLOOKUP("h1-txc"&amp;"-"&amp;A123,[1]flota_lineas_tp!$A$1:$F$65536,6,FALSE)</f>
        <v>0.69</v>
      </c>
      <c r="D123" s="1">
        <v>20002</v>
      </c>
      <c r="E123" s="3">
        <f>VLOOKUP("h2-txc"&amp;"-"&amp;D123,[1]flota_lineas_tp!$A$1:$F$65536,6,FALSE)</f>
        <v>0.44</v>
      </c>
      <c r="G123" s="1">
        <v>20002</v>
      </c>
      <c r="H123" s="3">
        <f>VLOOKUP("txc"&amp;"-"&amp;G123,[2]flota_lineas_tp!$A$1:$D$2000,4,FALSE)</f>
        <v>4.57</v>
      </c>
      <c r="J123" s="1">
        <v>20002</v>
      </c>
      <c r="K123" s="1">
        <f>VLOOKUP("txc"&amp;"-"&amp;J123,[3]flota_lineas_tp!$A$1:$D$2000,4,FALSE)</f>
        <v>18.010000000000002</v>
      </c>
      <c r="M123" s="1">
        <v>20002</v>
      </c>
    </row>
    <row r="124" spans="1:13" x14ac:dyDescent="0.2">
      <c r="A124" s="1">
        <v>22001</v>
      </c>
      <c r="B124" s="3">
        <f>VLOOKUP("h1-txc"&amp;"-"&amp;A124,[1]flota_lineas_tp!$A$1:$F$65536,6,FALSE)</f>
        <v>0.52</v>
      </c>
      <c r="D124" s="1">
        <v>22001</v>
      </c>
      <c r="E124" s="3">
        <f>VLOOKUP("h2-txc"&amp;"-"&amp;D124,[1]flota_lineas_tp!$A$1:$F$65536,6,FALSE)</f>
        <v>9.06</v>
      </c>
      <c r="G124" s="1">
        <v>22001</v>
      </c>
      <c r="H124" s="3">
        <f>VLOOKUP("txc"&amp;"-"&amp;G124,[2]flota_lineas_tp!$A$1:$D$2000,4,FALSE)</f>
        <v>0.54</v>
      </c>
      <c r="J124" s="1">
        <v>22001</v>
      </c>
      <c r="K124" s="1">
        <f>VLOOKUP("txc"&amp;"-"&amp;J124,[3]flota_lineas_tp!$A$1:$D$2000,4,FALSE)</f>
        <v>0.59</v>
      </c>
      <c r="M124" s="1">
        <v>22001</v>
      </c>
    </row>
    <row r="125" spans="1:13" x14ac:dyDescent="0.2">
      <c r="A125" s="1">
        <v>22002</v>
      </c>
      <c r="B125" s="3">
        <f>VLOOKUP("h1-txc"&amp;"-"&amp;A125,[1]flota_lineas_tp!$A$1:$F$65536,6,FALSE)</f>
        <v>2.72</v>
      </c>
      <c r="D125" s="1">
        <v>22002</v>
      </c>
      <c r="E125" s="3">
        <f>VLOOKUP("h2-txc"&amp;"-"&amp;D125,[1]flota_lineas_tp!$A$1:$F$65536,6,FALSE)</f>
        <v>3.64</v>
      </c>
      <c r="G125" s="1">
        <v>22002</v>
      </c>
      <c r="H125" s="3">
        <f>VLOOKUP("txc"&amp;"-"&amp;G125,[2]flota_lineas_tp!$A$1:$D$2000,4,FALSE)</f>
        <v>20.72</v>
      </c>
      <c r="J125" s="1">
        <v>22002</v>
      </c>
      <c r="K125" s="1">
        <f>VLOOKUP("txc"&amp;"-"&amp;J125,[3]flota_lineas_tp!$A$1:$D$2000,4,FALSE)</f>
        <v>16.25</v>
      </c>
      <c r="M125" s="1">
        <v>22002</v>
      </c>
    </row>
    <row r="126" spans="1:13" x14ac:dyDescent="0.2">
      <c r="A126" s="1">
        <v>22501</v>
      </c>
      <c r="B126" s="3">
        <f>VLOOKUP("h1-txc"&amp;"-"&amp;A126,[1]flota_lineas_tp!$A$1:$F$65536,6,FALSE)</f>
        <v>2.14</v>
      </c>
      <c r="D126" s="1">
        <v>22501</v>
      </c>
      <c r="E126" s="3">
        <f>VLOOKUP("h2-txc"&amp;"-"&amp;D126,[1]flota_lineas_tp!$A$1:$F$65536,6,FALSE)</f>
        <v>7.68</v>
      </c>
      <c r="G126" s="1">
        <v>22501</v>
      </c>
      <c r="H126" s="3">
        <f>VLOOKUP("txc"&amp;"-"&amp;G126,[2]flota_lineas_tp!$A$1:$D$2000,4,FALSE)</f>
        <v>1.52</v>
      </c>
      <c r="J126" s="1">
        <v>22501</v>
      </c>
      <c r="K126" s="1">
        <f>VLOOKUP("txc"&amp;"-"&amp;J126,[3]flota_lineas_tp!$A$1:$D$2000,4,FALSE)</f>
        <v>6</v>
      </c>
      <c r="M126" s="1">
        <v>22501</v>
      </c>
    </row>
    <row r="127" spans="1:13" x14ac:dyDescent="0.2">
      <c r="A127" s="1">
        <v>22502</v>
      </c>
      <c r="B127" s="3">
        <f>VLOOKUP("h1-txc"&amp;"-"&amp;A127,[1]flota_lineas_tp!$A$1:$F$65536,6,FALSE)</f>
        <v>2.99</v>
      </c>
      <c r="D127" s="1">
        <v>22502</v>
      </c>
      <c r="E127" s="3">
        <f>VLOOKUP("h2-txc"&amp;"-"&amp;D127,[1]flota_lineas_tp!$A$1:$F$65536,6,FALSE)</f>
        <v>9.9499999999999993</v>
      </c>
      <c r="G127" s="1">
        <v>22502</v>
      </c>
      <c r="H127" s="3">
        <f>VLOOKUP("txc"&amp;"-"&amp;G127,[2]flota_lineas_tp!$A$1:$D$2000,4,FALSE)</f>
        <v>0.81</v>
      </c>
      <c r="J127" s="1">
        <v>22502</v>
      </c>
      <c r="K127" s="1">
        <f>VLOOKUP("txc"&amp;"-"&amp;J127,[3]flota_lineas_tp!$A$1:$D$2000,4,FALSE)</f>
        <v>13.86</v>
      </c>
      <c r="M127" s="1">
        <v>22502</v>
      </c>
    </row>
    <row r="128" spans="1:13" x14ac:dyDescent="0.2">
      <c r="A128" s="1">
        <v>2301</v>
      </c>
      <c r="B128" s="3">
        <f>VLOOKUP("h1-txc"&amp;"-"&amp;A128,[1]flota_lineas_tp!$A$1:$F$65536,6,FALSE)</f>
        <v>14.23</v>
      </c>
      <c r="D128" s="1">
        <v>2301</v>
      </c>
      <c r="E128" s="3">
        <f>VLOOKUP("h2-txc"&amp;"-"&amp;D128,[1]flota_lineas_tp!$A$1:$F$65536,6,FALSE)</f>
        <v>43.57</v>
      </c>
      <c r="G128" s="1">
        <v>2301</v>
      </c>
      <c r="H128" s="3">
        <f>VLOOKUP("txc"&amp;"-"&amp;G128,[2]flota_lineas_tp!$A$1:$D$2000,4,FALSE)</f>
        <v>1.97</v>
      </c>
      <c r="J128" s="1">
        <v>2301</v>
      </c>
      <c r="K128" s="1">
        <f>VLOOKUP("txc"&amp;"-"&amp;J128,[3]flota_lineas_tp!$A$1:$D$2000,4,FALSE)</f>
        <v>21.96</v>
      </c>
      <c r="M128" s="1">
        <v>2301</v>
      </c>
    </row>
    <row r="129" spans="1:13" x14ac:dyDescent="0.2">
      <c r="A129" s="1">
        <v>2302</v>
      </c>
      <c r="B129" s="3">
        <f>VLOOKUP("h1-txc"&amp;"-"&amp;A129,[1]flota_lineas_tp!$A$1:$F$65536,6,FALSE)</f>
        <v>0.26</v>
      </c>
      <c r="D129" s="1">
        <v>2302</v>
      </c>
      <c r="E129" s="3">
        <f>VLOOKUP("h2-txc"&amp;"-"&amp;D129,[1]flota_lineas_tp!$A$1:$F$65536,6,FALSE)</f>
        <v>0.31</v>
      </c>
      <c r="G129" s="1">
        <v>2302</v>
      </c>
      <c r="H129" s="3">
        <f>VLOOKUP("txc"&amp;"-"&amp;G129,[2]flota_lineas_tp!$A$1:$D$2000,4,FALSE)</f>
        <v>0.33</v>
      </c>
      <c r="J129" s="1">
        <v>2302</v>
      </c>
      <c r="K129" s="1">
        <f>VLOOKUP("txc"&amp;"-"&amp;J129,[3]flota_lineas_tp!$A$1:$D$2000,4,FALSE)</f>
        <v>2.46</v>
      </c>
      <c r="M129" s="1">
        <v>2302</v>
      </c>
    </row>
    <row r="130" spans="1:13" x14ac:dyDescent="0.2">
      <c r="A130" s="1">
        <v>2311</v>
      </c>
      <c r="B130" s="3">
        <f>VLOOKUP("h1-txc"&amp;"-"&amp;A130,[1]flota_lineas_tp!$A$1:$F$65536,6,FALSE)</f>
        <v>3.52</v>
      </c>
      <c r="D130" s="1">
        <v>2311</v>
      </c>
      <c r="E130" s="3">
        <f>VLOOKUP("h2-txc"&amp;"-"&amp;D130,[1]flota_lineas_tp!$A$1:$F$65536,6,FALSE)</f>
        <v>12.93</v>
      </c>
      <c r="G130" s="1">
        <v>2311</v>
      </c>
      <c r="H130" s="3">
        <f>VLOOKUP("txc"&amp;"-"&amp;G130,[2]flota_lineas_tp!$A$1:$D$2000,4,FALSE)</f>
        <v>4.5999999999999996</v>
      </c>
      <c r="J130" s="1">
        <v>2311</v>
      </c>
      <c r="K130" s="1">
        <f>VLOOKUP("txc"&amp;"-"&amp;J130,[3]flota_lineas_tp!$A$1:$D$2000,4,FALSE)</f>
        <v>0.26</v>
      </c>
      <c r="M130" s="1">
        <v>2311</v>
      </c>
    </row>
    <row r="131" spans="1:13" x14ac:dyDescent="0.2">
      <c r="A131" s="1">
        <v>2312</v>
      </c>
      <c r="B131" s="3">
        <f>VLOOKUP("h1-txc"&amp;"-"&amp;A131,[1]flota_lineas_tp!$A$1:$F$65536,6,FALSE)</f>
        <v>0.27</v>
      </c>
      <c r="D131" s="1">
        <v>2312</v>
      </c>
      <c r="E131" s="3">
        <f>VLOOKUP("h2-txc"&amp;"-"&amp;D131,[1]flota_lineas_tp!$A$1:$F$65536,6,FALSE)</f>
        <v>0.33</v>
      </c>
      <c r="G131" s="1">
        <v>2312</v>
      </c>
      <c r="H131" s="3">
        <f>VLOOKUP("txc"&amp;"-"&amp;G131,[2]flota_lineas_tp!$A$1:$D$2000,4,FALSE)</f>
        <v>9.6999999999999993</v>
      </c>
      <c r="J131" s="1">
        <v>2312</v>
      </c>
      <c r="K131" s="1">
        <f>VLOOKUP("txc"&amp;"-"&amp;J131,[3]flota_lineas_tp!$A$1:$D$2000,4,FALSE)</f>
        <v>4</v>
      </c>
      <c r="M131" s="1">
        <v>2312</v>
      </c>
    </row>
    <row r="132" spans="1:13" x14ac:dyDescent="0.2">
      <c r="A132" s="1">
        <v>2411</v>
      </c>
      <c r="B132" s="3">
        <f>VLOOKUP("h1-txc"&amp;"-"&amp;A132,[1]flota_lineas_tp!$A$1:$F$65536,6,FALSE)</f>
        <v>0.41</v>
      </c>
      <c r="D132" s="1">
        <v>2411</v>
      </c>
      <c r="E132" s="3">
        <f>VLOOKUP("h2-txc"&amp;"-"&amp;D132,[1]flota_lineas_tp!$A$1:$F$65536,6,FALSE)</f>
        <v>0.55000000000000004</v>
      </c>
      <c r="G132" s="1">
        <v>2411</v>
      </c>
      <c r="H132" s="3">
        <f>VLOOKUP("txc"&amp;"-"&amp;G132,[2]flota_lineas_tp!$A$1:$D$2000,4,FALSE)</f>
        <v>0.74</v>
      </c>
      <c r="J132" s="1">
        <v>2411</v>
      </c>
      <c r="K132" s="1">
        <f>VLOOKUP("txc"&amp;"-"&amp;J132,[3]flota_lineas_tp!$A$1:$D$2000,4,FALSE)</f>
        <v>0.43</v>
      </c>
      <c r="M132" s="1">
        <v>2411</v>
      </c>
    </row>
    <row r="133" spans="1:13" x14ac:dyDescent="0.2">
      <c r="A133" s="1">
        <v>2412</v>
      </c>
      <c r="B133" s="3">
        <f>VLOOKUP("h1-txc"&amp;"-"&amp;A133,[1]flota_lineas_tp!$A$1:$F$65536,6,FALSE)</f>
        <v>0.43</v>
      </c>
      <c r="D133" s="1">
        <v>2412</v>
      </c>
      <c r="E133" s="3">
        <f>VLOOKUP("h2-txc"&amp;"-"&amp;D133,[1]flota_lineas_tp!$A$1:$F$65536,6,FALSE)</f>
        <v>0.47</v>
      </c>
      <c r="G133" s="1">
        <v>2412</v>
      </c>
      <c r="H133" s="3">
        <f>VLOOKUP("txc"&amp;"-"&amp;G133,[2]flota_lineas_tp!$A$1:$D$2000,4,FALSE)</f>
        <v>0.44</v>
      </c>
      <c r="J133" s="1">
        <v>2412</v>
      </c>
      <c r="K133" s="1">
        <f>VLOOKUP("txc"&amp;"-"&amp;J133,[3]flota_lineas_tp!$A$1:$D$2000,4,FALSE)</f>
        <v>0.48</v>
      </c>
      <c r="M133" s="1">
        <v>2412</v>
      </c>
    </row>
    <row r="134" spans="1:13" x14ac:dyDescent="0.2">
      <c r="A134" s="1">
        <v>2431</v>
      </c>
      <c r="B134" s="3">
        <f>VLOOKUP("h1-txc"&amp;"-"&amp;A134,[1]flota_lineas_tp!$A$1:$F$65536,6,FALSE)</f>
        <v>3.71</v>
      </c>
      <c r="D134" s="1">
        <v>2431</v>
      </c>
      <c r="E134" s="3">
        <f>VLOOKUP("h2-txc"&amp;"-"&amp;D134,[1]flota_lineas_tp!$A$1:$F$65536,6,FALSE)</f>
        <v>7.68</v>
      </c>
      <c r="G134" s="1">
        <v>2431</v>
      </c>
      <c r="H134" s="3">
        <f>VLOOKUP("txc"&amp;"-"&amp;G134,[2]flota_lineas_tp!$A$1:$D$2000,4,FALSE)</f>
        <v>0.87</v>
      </c>
      <c r="J134" s="1">
        <v>2431</v>
      </c>
      <c r="K134" s="1">
        <f>VLOOKUP("txc"&amp;"-"&amp;J134,[3]flota_lineas_tp!$A$1:$D$2000,4,FALSE)</f>
        <v>4.7300000000000004</v>
      </c>
      <c r="M134" s="1">
        <v>2431</v>
      </c>
    </row>
    <row r="135" spans="1:13" x14ac:dyDescent="0.2">
      <c r="A135" s="1">
        <v>2432</v>
      </c>
      <c r="B135" s="3">
        <f>VLOOKUP("h1-txc"&amp;"-"&amp;A135,[1]flota_lineas_tp!$A$1:$F$65536,6,FALSE)</f>
        <v>0.19</v>
      </c>
      <c r="D135" s="1">
        <v>2432</v>
      </c>
      <c r="E135" s="3">
        <f>VLOOKUP("h2-txc"&amp;"-"&amp;D135,[1]flota_lineas_tp!$A$1:$F$65536,6,FALSE)</f>
        <v>0.9</v>
      </c>
      <c r="G135" s="1">
        <v>2432</v>
      </c>
      <c r="H135" s="3">
        <f>VLOOKUP("txc"&amp;"-"&amp;G135,[2]flota_lineas_tp!$A$1:$D$2000,4,FALSE)</f>
        <v>3.18</v>
      </c>
      <c r="J135" s="1">
        <v>2432</v>
      </c>
      <c r="K135" s="1">
        <f>VLOOKUP("txc"&amp;"-"&amp;J135,[3]flota_lineas_tp!$A$1:$D$2000,4,FALSE)</f>
        <v>5.66</v>
      </c>
      <c r="M135" s="1">
        <v>2432</v>
      </c>
    </row>
    <row r="136" spans="1:13" x14ac:dyDescent="0.2">
      <c r="A136" s="1">
        <v>2421</v>
      </c>
      <c r="B136" s="3">
        <f>VLOOKUP("h1-txc"&amp;"-"&amp;A136,[1]flota_lineas_tp!$A$1:$F$65536,6,FALSE)</f>
        <v>0.48</v>
      </c>
      <c r="D136" s="1">
        <v>2421</v>
      </c>
      <c r="E136" s="3">
        <f>VLOOKUP("h2-txc"&amp;"-"&amp;D136,[1]flota_lineas_tp!$A$1:$F$65536,6,FALSE)</f>
        <v>3.63</v>
      </c>
      <c r="G136" s="1">
        <v>2421</v>
      </c>
      <c r="H136" s="3">
        <f>VLOOKUP("txc"&amp;"-"&amp;G136,[2]flota_lineas_tp!$A$1:$D$2000,4,FALSE)</f>
        <v>0.87</v>
      </c>
      <c r="J136" s="1">
        <v>2421</v>
      </c>
      <c r="K136" s="1">
        <f>VLOOKUP("txc"&amp;"-"&amp;J136,[3]flota_lineas_tp!$A$1:$D$2000,4,FALSE)</f>
        <v>0.5</v>
      </c>
      <c r="M136" s="1">
        <v>2421</v>
      </c>
    </row>
    <row r="137" spans="1:13" x14ac:dyDescent="0.2">
      <c r="A137" s="1">
        <v>2422</v>
      </c>
      <c r="B137" s="3">
        <f>VLOOKUP("h1-txc"&amp;"-"&amp;A137,[1]flota_lineas_tp!$A$1:$F$65536,6,FALSE)</f>
        <v>0.16</v>
      </c>
      <c r="D137" s="1">
        <v>2422</v>
      </c>
      <c r="E137" s="3">
        <f>VLOOKUP("h2-txc"&amp;"-"&amp;D137,[1]flota_lineas_tp!$A$1:$F$65536,6,FALSE)</f>
        <v>0.43</v>
      </c>
      <c r="G137" s="1">
        <v>2422</v>
      </c>
      <c r="H137" s="3">
        <f>VLOOKUP("txc"&amp;"-"&amp;G137,[2]flota_lineas_tp!$A$1:$D$2000,4,FALSE)</f>
        <v>1.1000000000000001</v>
      </c>
      <c r="J137" s="1">
        <v>2422</v>
      </c>
      <c r="K137" s="1">
        <f>VLOOKUP("txc"&amp;"-"&amp;J137,[3]flota_lineas_tp!$A$1:$D$2000,4,FALSE)</f>
        <v>1.1100000000000001</v>
      </c>
      <c r="M137" s="1">
        <v>2422</v>
      </c>
    </row>
    <row r="138" spans="1:13" x14ac:dyDescent="0.2">
      <c r="A138" s="1">
        <v>2401</v>
      </c>
      <c r="B138" s="3">
        <f>VLOOKUP("h1-txc"&amp;"-"&amp;A138,[1]flota_lineas_tp!$A$1:$F$65536,6,FALSE)</f>
        <v>0.8</v>
      </c>
      <c r="D138" s="1">
        <v>2401</v>
      </c>
      <c r="E138" s="3">
        <f>VLOOKUP("h2-txc"&amp;"-"&amp;D138,[1]flota_lineas_tp!$A$1:$F$65536,6,FALSE)</f>
        <v>34.799999999999997</v>
      </c>
      <c r="G138" s="1">
        <v>2401</v>
      </c>
      <c r="H138" s="3">
        <f>VLOOKUP("txc"&amp;"-"&amp;G138,[2]flota_lineas_tp!$A$1:$D$2000,4,FALSE)</f>
        <v>0.84</v>
      </c>
      <c r="J138" s="1">
        <v>2401</v>
      </c>
      <c r="K138" s="1">
        <f>VLOOKUP("txc"&amp;"-"&amp;J138,[3]flota_lineas_tp!$A$1:$D$2000,4,FALSE)</f>
        <v>4.0999999999999996</v>
      </c>
      <c r="M138" s="1">
        <v>2401</v>
      </c>
    </row>
    <row r="139" spans="1:13" x14ac:dyDescent="0.2">
      <c r="A139" s="1">
        <v>2402</v>
      </c>
      <c r="B139" s="3">
        <f>VLOOKUP("h1-txc"&amp;"-"&amp;A139,[1]flota_lineas_tp!$A$1:$F$65536,6,FALSE)</f>
        <v>0.47</v>
      </c>
      <c r="D139" s="1">
        <v>2402</v>
      </c>
      <c r="E139" s="3">
        <f>VLOOKUP("h2-txc"&amp;"-"&amp;D139,[1]flota_lineas_tp!$A$1:$F$65536,6,FALSE)</f>
        <v>10.82</v>
      </c>
      <c r="G139" s="1">
        <v>2402</v>
      </c>
      <c r="H139" s="3">
        <f>VLOOKUP("txc"&amp;"-"&amp;G139,[2]flota_lineas_tp!$A$1:$D$2000,4,FALSE)</f>
        <v>11.85</v>
      </c>
      <c r="J139" s="1">
        <v>2402</v>
      </c>
      <c r="K139" s="1">
        <f>VLOOKUP("txc"&amp;"-"&amp;J139,[3]flota_lineas_tp!$A$1:$D$2000,4,FALSE)</f>
        <v>12.61</v>
      </c>
      <c r="M139" s="1">
        <v>2402</v>
      </c>
    </row>
    <row r="140" spans="1:13" x14ac:dyDescent="0.2">
      <c r="A140" s="1">
        <v>25011</v>
      </c>
      <c r="B140" s="3">
        <f>VLOOKUP("h1-txc"&amp;"-"&amp;A140,[1]flota_lineas_tp!$A$1:$F$65536,6,FALSE)</f>
        <v>8.3000000000000007</v>
      </c>
      <c r="D140" s="1">
        <v>25011</v>
      </c>
      <c r="E140" s="3">
        <f>VLOOKUP("h2-txc"&amp;"-"&amp;D140,[1]flota_lineas_tp!$A$1:$F$65536,6,FALSE)</f>
        <v>9.94</v>
      </c>
      <c r="G140" s="1">
        <v>25011</v>
      </c>
      <c r="H140" s="3">
        <f>VLOOKUP("txc"&amp;"-"&amp;G140,[2]flota_lineas_tp!$A$1:$D$2000,4,FALSE)</f>
        <v>0.74</v>
      </c>
      <c r="J140" s="1">
        <v>25011</v>
      </c>
      <c r="K140" s="1">
        <f>VLOOKUP("txc"&amp;"-"&amp;J140,[3]flota_lineas_tp!$A$1:$D$2000,4,FALSE)</f>
        <v>17.5</v>
      </c>
      <c r="M140" s="1">
        <v>25011</v>
      </c>
    </row>
    <row r="141" spans="1:13" x14ac:dyDescent="0.2">
      <c r="A141" s="1">
        <v>25012</v>
      </c>
      <c r="B141" s="3">
        <f>VLOOKUP("h1-txc"&amp;"-"&amp;A141,[1]flota_lineas_tp!$A$1:$F$65536,6,FALSE)</f>
        <v>2.14</v>
      </c>
      <c r="D141" s="1">
        <v>25012</v>
      </c>
      <c r="E141" s="3">
        <f>VLOOKUP("h2-txc"&amp;"-"&amp;D141,[1]flota_lineas_tp!$A$1:$F$65536,6,FALSE)</f>
        <v>11.52</v>
      </c>
      <c r="G141" s="1">
        <v>25012</v>
      </c>
      <c r="H141" s="3">
        <f>VLOOKUP("txc"&amp;"-"&amp;G141,[2]flota_lineas_tp!$A$1:$D$2000,4,FALSE)</f>
        <v>1.23</v>
      </c>
      <c r="J141" s="1">
        <v>25012</v>
      </c>
      <c r="K141" s="1">
        <f>VLOOKUP("txc"&amp;"-"&amp;J141,[3]flota_lineas_tp!$A$1:$D$2000,4,FALSE)</f>
        <v>7.2</v>
      </c>
      <c r="M141" s="1">
        <v>25012</v>
      </c>
    </row>
    <row r="142" spans="1:13" x14ac:dyDescent="0.2">
      <c r="A142" s="1">
        <v>25001</v>
      </c>
      <c r="B142" s="3">
        <f>VLOOKUP("h1-txc"&amp;"-"&amp;A142,[1]flota_lineas_tp!$A$1:$F$65536,6,FALSE)</f>
        <v>2.44</v>
      </c>
      <c r="D142" s="1">
        <v>25001</v>
      </c>
      <c r="E142" s="3">
        <f>VLOOKUP("h2-txc"&amp;"-"&amp;D142,[1]flota_lineas_tp!$A$1:$F$65536,6,FALSE)</f>
        <v>5.86</v>
      </c>
      <c r="G142" s="1">
        <v>25001</v>
      </c>
      <c r="H142" s="3">
        <f>VLOOKUP("txc"&amp;"-"&amp;G142,[2]flota_lineas_tp!$A$1:$D$2000,4,FALSE)</f>
        <v>2.31</v>
      </c>
      <c r="J142" s="1">
        <v>25001</v>
      </c>
      <c r="K142" s="1">
        <f>VLOOKUP("txc"&amp;"-"&amp;J142,[3]flota_lineas_tp!$A$1:$D$2000,4,FALSE)</f>
        <v>0.33</v>
      </c>
      <c r="M142" s="1">
        <v>25001</v>
      </c>
    </row>
    <row r="143" spans="1:13" x14ac:dyDescent="0.2">
      <c r="A143" s="1">
        <v>25002</v>
      </c>
      <c r="B143" s="3">
        <f>VLOOKUP("h1-txc"&amp;"-"&amp;A143,[1]flota_lineas_tp!$A$1:$F$65536,6,FALSE)</f>
        <v>0.31</v>
      </c>
      <c r="D143" s="1">
        <v>25002</v>
      </c>
      <c r="E143" s="3">
        <f>VLOOKUP("h2-txc"&amp;"-"&amp;D143,[1]flota_lineas_tp!$A$1:$F$65536,6,FALSE)</f>
        <v>0.36</v>
      </c>
      <c r="G143" s="1">
        <v>25002</v>
      </c>
      <c r="H143" s="3">
        <f>VLOOKUP("txc"&amp;"-"&amp;G143,[2]flota_lineas_tp!$A$1:$D$2000,4,FALSE)</f>
        <v>0.32</v>
      </c>
      <c r="J143" s="1">
        <v>25002</v>
      </c>
      <c r="K143" s="1">
        <f>VLOOKUP("txc"&amp;"-"&amp;J143,[3]flota_lineas_tp!$A$1:$D$2000,4,FALSE)</f>
        <v>7.47</v>
      </c>
      <c r="M143" s="1">
        <v>25002</v>
      </c>
    </row>
    <row r="144" spans="1:13" x14ac:dyDescent="0.2">
      <c r="A144" s="1">
        <v>2611</v>
      </c>
      <c r="B144" s="3">
        <f>VLOOKUP("h1-txc"&amp;"-"&amp;A144,[1]flota_lineas_tp!$A$1:$F$65536,6,FALSE)</f>
        <v>13.31</v>
      </c>
      <c r="D144" s="1">
        <v>2611</v>
      </c>
      <c r="E144" s="3">
        <f>VLOOKUP("h2-txc"&amp;"-"&amp;D144,[1]flota_lineas_tp!$A$1:$F$65536,6,FALSE)</f>
        <v>23.3</v>
      </c>
      <c r="G144" s="1">
        <v>2611</v>
      </c>
      <c r="H144" s="3">
        <f>VLOOKUP("txc"&amp;"-"&amp;G144,[2]flota_lineas_tp!$A$1:$D$2000,4,FALSE)</f>
        <v>14.72</v>
      </c>
      <c r="J144" s="1">
        <v>2611</v>
      </c>
      <c r="K144" s="1">
        <f>VLOOKUP("txc"&amp;"-"&amp;J144,[3]flota_lineas_tp!$A$1:$D$2000,4,FALSE)</f>
        <v>44.95</v>
      </c>
      <c r="M144" s="1">
        <v>2611</v>
      </c>
    </row>
    <row r="145" spans="1:13" x14ac:dyDescent="0.2">
      <c r="A145" s="1">
        <v>2612</v>
      </c>
      <c r="B145" s="3">
        <f>VLOOKUP("h1-txc"&amp;"-"&amp;A145,[1]flota_lineas_tp!$A$1:$F$65536,6,FALSE)</f>
        <v>18.82</v>
      </c>
      <c r="D145" s="1">
        <v>2612</v>
      </c>
      <c r="E145" s="3">
        <f>VLOOKUP("h2-txc"&amp;"-"&amp;D145,[1]flota_lineas_tp!$A$1:$F$65536,6,FALSE)</f>
        <v>24.63</v>
      </c>
      <c r="G145" s="1">
        <v>2612</v>
      </c>
      <c r="H145" s="3">
        <f>VLOOKUP("txc"&amp;"-"&amp;G145,[2]flota_lineas_tp!$A$1:$D$2000,4,FALSE)</f>
        <v>15.05</v>
      </c>
      <c r="J145" s="1">
        <v>2612</v>
      </c>
      <c r="K145" s="1">
        <f>VLOOKUP("txc"&amp;"-"&amp;J145,[3]flota_lineas_tp!$A$1:$D$2000,4,FALSE)</f>
        <v>6.72</v>
      </c>
      <c r="M145" s="1">
        <v>2612</v>
      </c>
    </row>
    <row r="146" spans="1:13" x14ac:dyDescent="0.2">
      <c r="A146" s="1">
        <v>2701</v>
      </c>
      <c r="B146" s="3">
        <f>VLOOKUP("h1-txc"&amp;"-"&amp;A146,[1]flota_lineas_tp!$A$1:$F$65536,6,FALSE)</f>
        <v>2.36</v>
      </c>
      <c r="D146" s="1">
        <v>2701</v>
      </c>
      <c r="E146" s="3">
        <f>VLOOKUP("h2-txc"&amp;"-"&amp;D146,[1]flota_lineas_tp!$A$1:$F$65536,6,FALSE)</f>
        <v>0.28000000000000003</v>
      </c>
      <c r="G146" s="1">
        <v>2701</v>
      </c>
      <c r="H146" s="3">
        <f>VLOOKUP("txc"&amp;"-"&amp;G146,[2]flota_lineas_tp!$A$1:$D$2000,4,FALSE)</f>
        <v>1.31</v>
      </c>
      <c r="J146" s="1">
        <v>2701</v>
      </c>
      <c r="K146" s="1">
        <f>VLOOKUP("txc"&amp;"-"&amp;J146,[3]flota_lineas_tp!$A$1:$D$2000,4,FALSE)</f>
        <v>5.2</v>
      </c>
      <c r="M146" s="1">
        <v>2701</v>
      </c>
    </row>
    <row r="147" spans="1:13" x14ac:dyDescent="0.2">
      <c r="A147" s="1">
        <v>2702</v>
      </c>
      <c r="B147" s="3">
        <f>VLOOKUP("h1-txc"&amp;"-"&amp;A147,[1]flota_lineas_tp!$A$1:$F$65536,6,FALSE)</f>
        <v>0.52</v>
      </c>
      <c r="D147" s="1">
        <v>2702</v>
      </c>
      <c r="E147" s="3">
        <f>VLOOKUP("h2-txc"&amp;"-"&amp;D147,[1]flota_lineas_tp!$A$1:$F$65536,6,FALSE)</f>
        <v>0.1</v>
      </c>
      <c r="G147" s="1">
        <v>2702</v>
      </c>
      <c r="H147" s="3">
        <f>VLOOKUP("txc"&amp;"-"&amp;G147,[2]flota_lineas_tp!$A$1:$D$2000,4,FALSE)</f>
        <v>0.23</v>
      </c>
      <c r="J147" s="1">
        <v>2702</v>
      </c>
      <c r="K147" s="1">
        <f>VLOOKUP("txc"&amp;"-"&amp;J147,[3]flota_lineas_tp!$A$1:$D$2000,4,FALSE)</f>
        <v>5.95</v>
      </c>
      <c r="M147" s="1">
        <v>2702</v>
      </c>
    </row>
    <row r="148" spans="1:13" x14ac:dyDescent="0.2">
      <c r="A148" s="1">
        <v>2711</v>
      </c>
      <c r="B148" s="3">
        <f>VLOOKUP("h1-txc"&amp;"-"&amp;A148,[1]flota_lineas_tp!$A$1:$F$65536,6,FALSE)</f>
        <v>2.19</v>
      </c>
      <c r="D148" s="1">
        <v>2711</v>
      </c>
      <c r="E148" s="3">
        <f>VLOOKUP("h2-txc"&amp;"-"&amp;D148,[1]flota_lineas_tp!$A$1:$F$65536,6,FALSE)</f>
        <v>3.31</v>
      </c>
      <c r="G148" s="1">
        <v>2711</v>
      </c>
      <c r="H148" s="3">
        <f>VLOOKUP("txc"&amp;"-"&amp;G148,[2]flota_lineas_tp!$A$1:$D$2000,4,FALSE)</f>
        <v>1.38</v>
      </c>
      <c r="J148" s="1">
        <v>2711</v>
      </c>
      <c r="K148" s="1">
        <f>VLOOKUP("txc"&amp;"-"&amp;J148,[3]flota_lineas_tp!$A$1:$D$2000,4,FALSE)</f>
        <v>1.39</v>
      </c>
      <c r="M148" s="1">
        <v>2711</v>
      </c>
    </row>
    <row r="149" spans="1:13" x14ac:dyDescent="0.2">
      <c r="A149" s="1">
        <v>2712</v>
      </c>
      <c r="B149" s="3">
        <f>VLOOKUP("h1-txc"&amp;"-"&amp;A149,[1]flota_lineas_tp!$A$1:$F$65536,6,FALSE)</f>
        <v>1.86</v>
      </c>
      <c r="D149" s="1">
        <v>2712</v>
      </c>
      <c r="E149" s="3">
        <f>VLOOKUP("h2-txc"&amp;"-"&amp;D149,[1]flota_lineas_tp!$A$1:$F$65536,6,FALSE)</f>
        <v>2.2599999999999998</v>
      </c>
      <c r="G149" s="1">
        <v>2712</v>
      </c>
      <c r="H149" s="3">
        <f>VLOOKUP("txc"&amp;"-"&amp;G149,[2]flota_lineas_tp!$A$1:$D$2000,4,FALSE)</f>
        <v>2.61</v>
      </c>
      <c r="J149" s="1">
        <v>2712</v>
      </c>
      <c r="K149" s="1">
        <f>VLOOKUP("txc"&amp;"-"&amp;J149,[3]flota_lineas_tp!$A$1:$D$2000,4,FALSE)</f>
        <v>2.0299999999999998</v>
      </c>
      <c r="M149" s="1">
        <v>2712</v>
      </c>
    </row>
    <row r="150" spans="1:13" x14ac:dyDescent="0.2">
      <c r="A150" s="1">
        <v>2901</v>
      </c>
      <c r="B150" s="3">
        <f>VLOOKUP("h1-txc"&amp;"-"&amp;A150,[1]flota_lineas_tp!$A$1:$F$65536,6,FALSE)</f>
        <v>4.78</v>
      </c>
      <c r="D150" s="1">
        <v>2901</v>
      </c>
      <c r="E150" s="3">
        <f>VLOOKUP("h2-txc"&amp;"-"&amp;D150,[1]flota_lineas_tp!$A$1:$F$65536,6,FALSE)</f>
        <v>5.89</v>
      </c>
      <c r="G150" s="1">
        <v>2901</v>
      </c>
      <c r="H150" s="3">
        <f>VLOOKUP("txc"&amp;"-"&amp;G150,[2]flota_lineas_tp!$A$1:$D$2000,4,FALSE)</f>
        <v>5.96</v>
      </c>
      <c r="J150" s="1">
        <v>2901</v>
      </c>
      <c r="K150" s="1">
        <f>VLOOKUP("txc"&amp;"-"&amp;J150,[3]flota_lineas_tp!$A$1:$D$2000,4,FALSE)</f>
        <v>2.5099999999999998</v>
      </c>
      <c r="M150" s="1">
        <v>2901</v>
      </c>
    </row>
    <row r="151" spans="1:13" x14ac:dyDescent="0.2">
      <c r="A151" s="1">
        <v>2902</v>
      </c>
      <c r="B151" s="3">
        <f>VLOOKUP("h1-txc"&amp;"-"&amp;A151,[1]flota_lineas_tp!$A$1:$F$65536,6,FALSE)</f>
        <v>0.27</v>
      </c>
      <c r="D151" s="1">
        <v>2902</v>
      </c>
      <c r="E151" s="3">
        <f>VLOOKUP("h2-txc"&amp;"-"&amp;D151,[1]flota_lineas_tp!$A$1:$F$65536,6,FALSE)</f>
        <v>4.46</v>
      </c>
      <c r="G151" s="1">
        <v>2902</v>
      </c>
      <c r="H151" s="3">
        <f>VLOOKUP("txc"&amp;"-"&amp;G151,[2]flota_lineas_tp!$A$1:$D$2000,4,FALSE)</f>
        <v>1.1200000000000001</v>
      </c>
      <c r="J151" s="1">
        <v>2902</v>
      </c>
      <c r="K151" s="1">
        <f>VLOOKUP("txc"&amp;"-"&amp;J151,[3]flota_lineas_tp!$A$1:$D$2000,4,FALSE)</f>
        <v>3.2</v>
      </c>
      <c r="M151" s="1">
        <v>2902</v>
      </c>
    </row>
    <row r="152" spans="1:13" x14ac:dyDescent="0.2">
      <c r="A152" s="1">
        <v>2911</v>
      </c>
      <c r="B152" s="3">
        <f>VLOOKUP("h1-txc"&amp;"-"&amp;A152,[1]flota_lineas_tp!$A$1:$F$65536,6,FALSE)</f>
        <v>0.28999999999999998</v>
      </c>
      <c r="D152" s="1">
        <v>2911</v>
      </c>
      <c r="E152" s="3">
        <f>VLOOKUP("h2-txc"&amp;"-"&amp;D152,[1]flota_lineas_tp!$A$1:$F$65536,6,FALSE)</f>
        <v>0.28999999999999998</v>
      </c>
      <c r="G152" s="1">
        <v>2911</v>
      </c>
      <c r="H152" s="3">
        <f>VLOOKUP("txc"&amp;"-"&amp;G152,[2]flota_lineas_tp!$A$1:$D$2000,4,FALSE)</f>
        <v>1.41</v>
      </c>
      <c r="J152" s="1">
        <v>2911</v>
      </c>
      <c r="K152" s="1">
        <f>VLOOKUP("txc"&amp;"-"&amp;J152,[3]flota_lineas_tp!$A$1:$D$2000,4,FALSE)</f>
        <v>1.75</v>
      </c>
      <c r="M152" s="1">
        <v>2911</v>
      </c>
    </row>
    <row r="153" spans="1:13" x14ac:dyDescent="0.2">
      <c r="A153" s="1">
        <v>2912</v>
      </c>
      <c r="B153" s="3">
        <f>VLOOKUP("h1-txc"&amp;"-"&amp;A153,[1]flota_lineas_tp!$A$1:$F$65536,6,FALSE)</f>
        <v>0.2</v>
      </c>
      <c r="D153" s="1">
        <v>2912</v>
      </c>
      <c r="E153" s="3">
        <f>VLOOKUP("h2-txc"&amp;"-"&amp;D153,[1]flota_lineas_tp!$A$1:$F$65536,6,FALSE)</f>
        <v>0.23</v>
      </c>
      <c r="G153" s="1">
        <v>2912</v>
      </c>
      <c r="H153" s="3">
        <f>VLOOKUP("txc"&amp;"-"&amp;G153,[2]flota_lineas_tp!$A$1:$D$2000,4,FALSE)</f>
        <v>0.21</v>
      </c>
      <c r="J153" s="1">
        <v>2912</v>
      </c>
      <c r="K153" s="1">
        <f>VLOOKUP("txc"&amp;"-"&amp;J153,[3]flota_lineas_tp!$A$1:$D$2000,4,FALSE)</f>
        <v>2.73</v>
      </c>
      <c r="M153" s="1">
        <v>2912</v>
      </c>
    </row>
    <row r="154" spans="1:13" x14ac:dyDescent="0.2">
      <c r="A154" s="1">
        <v>301</v>
      </c>
      <c r="B154" s="3">
        <f>VLOOKUP("h1-txc"&amp;"-"&amp;A154,[1]flota_lineas_tp!$A$1:$F$65536,6,FALSE)</f>
        <v>0.35</v>
      </c>
      <c r="D154" s="1">
        <v>301</v>
      </c>
      <c r="E154" s="3">
        <f>VLOOKUP("h2-txc"&amp;"-"&amp;D154,[1]flota_lineas_tp!$A$1:$F$65536,6,FALSE)</f>
        <v>11.31</v>
      </c>
      <c r="G154" s="1">
        <v>301</v>
      </c>
      <c r="H154" s="3">
        <f>VLOOKUP("txc"&amp;"-"&amp;G154,[2]flota_lineas_tp!$A$1:$D$2000,4,FALSE)</f>
        <v>7.5</v>
      </c>
      <c r="J154" s="1">
        <v>301</v>
      </c>
      <c r="K154" s="1">
        <f>VLOOKUP("txc"&amp;"-"&amp;J154,[3]flota_lineas_tp!$A$1:$D$2000,4,FALSE)</f>
        <v>10.24</v>
      </c>
      <c r="M154" s="1">
        <v>301</v>
      </c>
    </row>
    <row r="155" spans="1:13" x14ac:dyDescent="0.2">
      <c r="A155" s="1">
        <v>302</v>
      </c>
      <c r="B155" s="3">
        <f>VLOOKUP("h1-txc"&amp;"-"&amp;A155,[1]flota_lineas_tp!$A$1:$F$65536,6,FALSE)</f>
        <v>0.31</v>
      </c>
      <c r="D155" s="1">
        <v>302</v>
      </c>
      <c r="E155" s="3">
        <f>VLOOKUP("h2-txc"&amp;"-"&amp;D155,[1]flota_lineas_tp!$A$1:$F$65536,6,FALSE)</f>
        <v>2.15</v>
      </c>
      <c r="G155" s="1">
        <v>302</v>
      </c>
      <c r="H155" s="3">
        <f>VLOOKUP("txc"&amp;"-"&amp;G155,[2]flota_lineas_tp!$A$1:$D$2000,4,FALSE)</f>
        <v>3.22</v>
      </c>
      <c r="J155" s="1">
        <v>302</v>
      </c>
      <c r="K155" s="1">
        <f>VLOOKUP("txc"&amp;"-"&amp;J155,[3]flota_lineas_tp!$A$1:$D$2000,4,FALSE)</f>
        <v>10.27</v>
      </c>
      <c r="M155" s="1">
        <v>302</v>
      </c>
    </row>
    <row r="156" spans="1:13" x14ac:dyDescent="0.2">
      <c r="A156" s="1">
        <v>311</v>
      </c>
      <c r="B156" s="3">
        <f>VLOOKUP("h1-txc"&amp;"-"&amp;A156,[1]flota_lineas_tp!$A$1:$F$65536,6,FALSE)</f>
        <v>6.34</v>
      </c>
      <c r="D156" s="1">
        <v>311</v>
      </c>
      <c r="E156" s="3">
        <f>VLOOKUP("h2-txc"&amp;"-"&amp;D156,[1]flota_lineas_tp!$A$1:$F$65536,6,FALSE)</f>
        <v>8.2100000000000009</v>
      </c>
      <c r="G156" s="1">
        <v>311</v>
      </c>
      <c r="H156" s="3">
        <f>VLOOKUP("txc"&amp;"-"&amp;G156,[2]flota_lineas_tp!$A$1:$D$2000,4,FALSE)</f>
        <v>10.029999999999999</v>
      </c>
      <c r="J156" s="1">
        <v>311</v>
      </c>
      <c r="K156" s="1">
        <f>VLOOKUP("txc"&amp;"-"&amp;J156,[3]flota_lineas_tp!$A$1:$D$2000,4,FALSE)</f>
        <v>8.0500000000000007</v>
      </c>
      <c r="M156" s="1">
        <v>311</v>
      </c>
    </row>
    <row r="157" spans="1:13" x14ac:dyDescent="0.2">
      <c r="A157" s="1">
        <v>3131</v>
      </c>
      <c r="B157" s="3">
        <f>VLOOKUP("h1-txc"&amp;"-"&amp;A157,[1]flota_lineas_tp!$A$1:$F$65536,6,FALSE)</f>
        <v>1.07</v>
      </c>
      <c r="D157" s="1">
        <v>3131</v>
      </c>
      <c r="E157" s="3">
        <f>VLOOKUP("h2-txc"&amp;"-"&amp;D157,[1]flota_lineas_tp!$A$1:$F$65536,6,FALSE)</f>
        <v>3.91</v>
      </c>
      <c r="G157" s="1">
        <v>3131</v>
      </c>
      <c r="H157" s="3">
        <f>VLOOKUP("txc"&amp;"-"&amp;G157,[2]flota_lineas_tp!$A$1:$D$2000,4,FALSE)</f>
        <v>0.52</v>
      </c>
      <c r="J157" s="1">
        <v>3131</v>
      </c>
      <c r="K157" s="1">
        <f>VLOOKUP("txc"&amp;"-"&amp;J157,[3]flota_lineas_tp!$A$1:$D$2000,4,FALSE)</f>
        <v>24.38</v>
      </c>
      <c r="M157" s="1">
        <v>3131</v>
      </c>
    </row>
    <row r="158" spans="1:13" x14ac:dyDescent="0.2">
      <c r="A158" s="1">
        <v>3132</v>
      </c>
      <c r="B158" s="3">
        <f>VLOOKUP("h1-txc"&amp;"-"&amp;A158,[1]flota_lineas_tp!$A$1:$F$65536,6,FALSE)</f>
        <v>18.16</v>
      </c>
      <c r="D158" s="1">
        <v>3132</v>
      </c>
      <c r="E158" s="3">
        <f>VLOOKUP("h2-txc"&amp;"-"&amp;D158,[1]flota_lineas_tp!$A$1:$F$65536,6,FALSE)</f>
        <v>41.57</v>
      </c>
      <c r="G158" s="1">
        <v>3132</v>
      </c>
      <c r="H158" s="3">
        <f>VLOOKUP("txc"&amp;"-"&amp;G158,[2]flota_lineas_tp!$A$1:$D$2000,4,FALSE)</f>
        <v>13.29</v>
      </c>
      <c r="J158" s="1">
        <v>3132</v>
      </c>
      <c r="K158" s="1">
        <f>VLOOKUP("txc"&amp;"-"&amp;J158,[3]flota_lineas_tp!$A$1:$D$2000,4,FALSE)</f>
        <v>18.62</v>
      </c>
      <c r="M158" s="1">
        <v>3132</v>
      </c>
    </row>
    <row r="159" spans="1:13" x14ac:dyDescent="0.2">
      <c r="A159" s="1">
        <v>3101</v>
      </c>
      <c r="B159" s="3">
        <f>VLOOKUP("h1-txc"&amp;"-"&amp;A159,[1]flota_lineas_tp!$A$1:$F$65536,6,FALSE)</f>
        <v>0.43</v>
      </c>
      <c r="D159" s="1">
        <v>3101</v>
      </c>
      <c r="E159" s="3">
        <f>VLOOKUP("h2-txc"&amp;"-"&amp;D159,[1]flota_lineas_tp!$A$1:$F$65536,6,FALSE)</f>
        <v>0.52</v>
      </c>
      <c r="G159" s="1">
        <v>3101</v>
      </c>
      <c r="H159" s="3">
        <f>VLOOKUP("txc"&amp;"-"&amp;G159,[2]flota_lineas_tp!$A$1:$D$2000,4,FALSE)</f>
        <v>3.08</v>
      </c>
      <c r="J159" s="1">
        <v>3101</v>
      </c>
      <c r="K159" s="1">
        <f>VLOOKUP("txc"&amp;"-"&amp;J159,[3]flota_lineas_tp!$A$1:$D$2000,4,FALSE)</f>
        <v>0.47</v>
      </c>
      <c r="M159" s="1">
        <v>3101</v>
      </c>
    </row>
    <row r="160" spans="1:13" x14ac:dyDescent="0.2">
      <c r="A160" s="1">
        <v>3102</v>
      </c>
      <c r="B160" s="3">
        <f>VLOOKUP("h1-txc"&amp;"-"&amp;A160,[1]flota_lineas_tp!$A$1:$F$65536,6,FALSE)</f>
        <v>0.39</v>
      </c>
      <c r="D160" s="1">
        <v>3102</v>
      </c>
      <c r="E160" s="3">
        <f>VLOOKUP("h2-txc"&amp;"-"&amp;D160,[1]flota_lineas_tp!$A$1:$F$65536,6,FALSE)</f>
        <v>0.67</v>
      </c>
      <c r="G160" s="1">
        <v>3102</v>
      </c>
      <c r="H160" s="3">
        <f>VLOOKUP("txc"&amp;"-"&amp;G160,[2]flota_lineas_tp!$A$1:$D$2000,4,FALSE)</f>
        <v>0.42</v>
      </c>
      <c r="J160" s="1">
        <v>3102</v>
      </c>
      <c r="K160" s="1">
        <f>VLOOKUP("txc"&amp;"-"&amp;J160,[3]flota_lineas_tp!$A$1:$D$2000,4,FALSE)</f>
        <v>0.44</v>
      </c>
      <c r="M160" s="1">
        <v>3102</v>
      </c>
    </row>
    <row r="161" spans="1:13" x14ac:dyDescent="0.2">
      <c r="A161" s="1">
        <v>3111</v>
      </c>
      <c r="B161" s="3">
        <f>VLOOKUP("h1-txc"&amp;"-"&amp;A161,[1]flota_lineas_tp!$A$1:$F$65536,6,FALSE)</f>
        <v>0.44</v>
      </c>
      <c r="D161" s="1">
        <v>3111</v>
      </c>
      <c r="E161" s="3">
        <f>VLOOKUP("h2-txc"&amp;"-"&amp;D161,[1]flota_lineas_tp!$A$1:$F$65536,6,FALSE)</f>
        <v>0.53</v>
      </c>
      <c r="G161" s="1">
        <v>3111</v>
      </c>
      <c r="H161" s="3">
        <f>VLOOKUP("txc"&amp;"-"&amp;G161,[2]flota_lineas_tp!$A$1:$D$2000,4,FALSE)</f>
        <v>3.18</v>
      </c>
      <c r="J161" s="1">
        <v>3111</v>
      </c>
      <c r="K161" s="1">
        <f>VLOOKUP("txc"&amp;"-"&amp;J161,[3]flota_lineas_tp!$A$1:$D$2000,4,FALSE)</f>
        <v>0.48</v>
      </c>
      <c r="M161" s="1">
        <v>3111</v>
      </c>
    </row>
    <row r="162" spans="1:13" x14ac:dyDescent="0.2">
      <c r="A162" s="1">
        <v>3112</v>
      </c>
      <c r="B162" s="3">
        <f>VLOOKUP("h1-txc"&amp;"-"&amp;A162,[1]flota_lineas_tp!$A$1:$F$65536,6,FALSE)</f>
        <v>0.39</v>
      </c>
      <c r="D162" s="1">
        <v>3112</v>
      </c>
      <c r="E162" s="3">
        <f>VLOOKUP("h2-txc"&amp;"-"&amp;D162,[1]flota_lineas_tp!$A$1:$F$65536,6,FALSE)</f>
        <v>0.6</v>
      </c>
      <c r="G162" s="1">
        <v>3112</v>
      </c>
      <c r="H162" s="3">
        <f>VLOOKUP("txc"&amp;"-"&amp;G162,[2]flota_lineas_tp!$A$1:$D$2000,4,FALSE)</f>
        <v>0.42</v>
      </c>
      <c r="J162" s="1">
        <v>3112</v>
      </c>
      <c r="K162" s="1">
        <f>VLOOKUP("txc"&amp;"-"&amp;J162,[3]flota_lineas_tp!$A$1:$D$2000,4,FALSE)</f>
        <v>0.44</v>
      </c>
      <c r="M162" s="1">
        <v>3112</v>
      </c>
    </row>
    <row r="163" spans="1:13" x14ac:dyDescent="0.2">
      <c r="A163" s="1">
        <v>3211</v>
      </c>
      <c r="B163" s="3">
        <f>VLOOKUP("h1-txc"&amp;"-"&amp;A163,[1]flota_lineas_tp!$A$1:$F$65536,6,FALSE)</f>
        <v>0.4</v>
      </c>
      <c r="D163" s="1">
        <v>3211</v>
      </c>
      <c r="E163" s="3">
        <f>VLOOKUP("h2-txc"&amp;"-"&amp;D163,[1]flota_lineas_tp!$A$1:$F$65536,6,FALSE)</f>
        <v>0.6</v>
      </c>
      <c r="G163" s="1">
        <v>3211</v>
      </c>
      <c r="H163" s="3">
        <f>VLOOKUP("txc"&amp;"-"&amp;G163,[2]flota_lineas_tp!$A$1:$D$2000,4,FALSE)</f>
        <v>0.51</v>
      </c>
      <c r="J163" s="1">
        <v>3211</v>
      </c>
      <c r="K163" s="1">
        <f>VLOOKUP("txc"&amp;"-"&amp;J163,[3]flota_lineas_tp!$A$1:$D$2000,4,FALSE)</f>
        <v>6.24</v>
      </c>
      <c r="M163" s="1">
        <v>3211</v>
      </c>
    </row>
    <row r="164" spans="1:13" x14ac:dyDescent="0.2">
      <c r="A164" s="1">
        <v>3212</v>
      </c>
      <c r="B164" s="3">
        <f>VLOOKUP("h1-txc"&amp;"-"&amp;A164,[1]flota_lineas_tp!$A$1:$F$65536,6,FALSE)</f>
        <v>2.72</v>
      </c>
      <c r="D164" s="1">
        <v>3212</v>
      </c>
      <c r="E164" s="3">
        <f>VLOOKUP("h2-txc"&amp;"-"&amp;D164,[1]flota_lineas_tp!$A$1:$F$65536,6,FALSE)</f>
        <v>3.98</v>
      </c>
      <c r="G164" s="1">
        <v>3212</v>
      </c>
      <c r="H164" s="3">
        <f>VLOOKUP("txc"&amp;"-"&amp;G164,[2]flota_lineas_tp!$A$1:$D$2000,4,FALSE)</f>
        <v>3.57</v>
      </c>
      <c r="J164" s="1">
        <v>3212</v>
      </c>
      <c r="K164" s="1">
        <f>VLOOKUP("txc"&amp;"-"&amp;J164,[3]flota_lineas_tp!$A$1:$D$2000,4,FALSE)</f>
        <v>0.55000000000000004</v>
      </c>
      <c r="M164" s="1">
        <v>3212</v>
      </c>
    </row>
    <row r="165" spans="1:13" x14ac:dyDescent="0.2">
      <c r="A165" s="1">
        <v>3201</v>
      </c>
      <c r="B165" s="3">
        <f>VLOOKUP("h1-txc"&amp;"-"&amp;A165,[1]flota_lineas_tp!$A$1:$F$65536,6,FALSE)</f>
        <v>0.31</v>
      </c>
      <c r="D165" s="1">
        <v>3201</v>
      </c>
      <c r="E165" s="3">
        <f>VLOOKUP("h2-txc"&amp;"-"&amp;D165,[1]flota_lineas_tp!$A$1:$F$65536,6,FALSE)</f>
        <v>0.46</v>
      </c>
      <c r="G165" s="1">
        <v>3201</v>
      </c>
      <c r="H165" s="3">
        <f>VLOOKUP("txc"&amp;"-"&amp;G165,[2]flota_lineas_tp!$A$1:$D$2000,4,FALSE)</f>
        <v>0.38</v>
      </c>
      <c r="J165" s="1">
        <v>3201</v>
      </c>
      <c r="K165" s="1">
        <f>VLOOKUP("txc"&amp;"-"&amp;J165,[3]flota_lineas_tp!$A$1:$D$2000,4,FALSE)</f>
        <v>5.48</v>
      </c>
      <c r="M165" s="1">
        <v>3201</v>
      </c>
    </row>
    <row r="166" spans="1:13" x14ac:dyDescent="0.2">
      <c r="A166" s="1">
        <v>3202</v>
      </c>
      <c r="B166" s="3">
        <f>VLOOKUP("h1-txc"&amp;"-"&amp;A166,[1]flota_lineas_tp!$A$1:$F$65536,6,FALSE)</f>
        <v>0.33</v>
      </c>
      <c r="D166" s="1">
        <v>3202</v>
      </c>
      <c r="E166" s="3">
        <f>VLOOKUP("h2-txc"&amp;"-"&amp;D166,[1]flota_lineas_tp!$A$1:$F$65536,6,FALSE)</f>
        <v>0.4</v>
      </c>
      <c r="G166" s="1">
        <v>3202</v>
      </c>
      <c r="H166" s="3">
        <f>VLOOKUP("txc"&amp;"-"&amp;G166,[2]flota_lineas_tp!$A$1:$D$2000,4,FALSE)</f>
        <v>0.35</v>
      </c>
      <c r="J166" s="1">
        <v>3202</v>
      </c>
      <c r="K166" s="1">
        <f>VLOOKUP("txc"&amp;"-"&amp;J166,[3]flota_lineas_tp!$A$1:$D$2000,4,FALSE)</f>
        <v>0.37</v>
      </c>
      <c r="M166" s="1">
        <v>3202</v>
      </c>
    </row>
    <row r="167" spans="1:13" x14ac:dyDescent="0.2">
      <c r="A167" s="1">
        <v>3301</v>
      </c>
      <c r="B167" s="3">
        <f>VLOOKUP("h1-txc"&amp;"-"&amp;A167,[1]flota_lineas_tp!$A$1:$F$65536,6,FALSE)</f>
        <v>0.38</v>
      </c>
      <c r="D167" s="1">
        <v>3301</v>
      </c>
      <c r="E167" s="3">
        <f>VLOOKUP("h2-txc"&amp;"-"&amp;D167,[1]flota_lineas_tp!$A$1:$F$65536,6,FALSE)</f>
        <v>0.47</v>
      </c>
      <c r="G167" s="1">
        <v>3301</v>
      </c>
      <c r="H167" s="3">
        <f>VLOOKUP("txc"&amp;"-"&amp;G167,[2]flota_lineas_tp!$A$1:$D$2000,4,FALSE)</f>
        <v>0.41</v>
      </c>
      <c r="J167" s="1">
        <v>3301</v>
      </c>
      <c r="K167" s="1">
        <f>VLOOKUP("txc"&amp;"-"&amp;J167,[3]flota_lineas_tp!$A$1:$D$2000,4,FALSE)</f>
        <v>13.18</v>
      </c>
      <c r="M167" s="1">
        <v>3301</v>
      </c>
    </row>
    <row r="168" spans="1:13" x14ac:dyDescent="0.2">
      <c r="A168" s="1">
        <v>3302</v>
      </c>
      <c r="B168" s="3">
        <f>VLOOKUP("h1-txc"&amp;"-"&amp;A168,[1]flota_lineas_tp!$A$1:$F$65536,6,FALSE)</f>
        <v>0.38</v>
      </c>
      <c r="D168" s="1">
        <v>3302</v>
      </c>
      <c r="E168" s="3">
        <f>VLOOKUP("h2-txc"&amp;"-"&amp;D168,[1]flota_lineas_tp!$A$1:$F$65536,6,FALSE)</f>
        <v>16.489999999999998</v>
      </c>
      <c r="G168" s="1">
        <v>3302</v>
      </c>
      <c r="H168" s="3">
        <f>VLOOKUP("txc"&amp;"-"&amp;G168,[2]flota_lineas_tp!$A$1:$D$2000,4,FALSE)</f>
        <v>13.62</v>
      </c>
      <c r="J168" s="1">
        <v>3302</v>
      </c>
      <c r="K168" s="1">
        <f>VLOOKUP("txc"&amp;"-"&amp;J168,[3]flota_lineas_tp!$A$1:$D$2000,4,FALSE)</f>
        <v>18.91</v>
      </c>
      <c r="M168" s="1">
        <v>3302</v>
      </c>
    </row>
    <row r="169" spans="1:13" x14ac:dyDescent="0.2">
      <c r="A169" s="1">
        <v>3311</v>
      </c>
      <c r="B169" s="3">
        <f>VLOOKUP("h1-txc"&amp;"-"&amp;A169,[1]flota_lineas_tp!$A$1:$F$65536,6,FALSE)</f>
        <v>1.44</v>
      </c>
      <c r="D169" s="1">
        <v>3311</v>
      </c>
      <c r="E169" s="3">
        <f>VLOOKUP("h2-txc"&amp;"-"&amp;D169,[1]flota_lineas_tp!$A$1:$F$65536,6,FALSE)</f>
        <v>4.84</v>
      </c>
      <c r="G169" s="1">
        <v>3311</v>
      </c>
      <c r="H169" s="3">
        <f>VLOOKUP("txc"&amp;"-"&amp;G169,[2]flota_lineas_tp!$A$1:$D$2000,4,FALSE)</f>
        <v>4.5199999999999996</v>
      </c>
      <c r="J169" s="1">
        <v>3311</v>
      </c>
      <c r="K169" s="1">
        <f>VLOOKUP("txc"&amp;"-"&amp;J169,[3]flota_lineas_tp!$A$1:$D$2000,4,FALSE)</f>
        <v>8.64</v>
      </c>
      <c r="M169" s="1">
        <v>3311</v>
      </c>
    </row>
    <row r="170" spans="1:13" x14ac:dyDescent="0.2">
      <c r="A170" s="1">
        <v>3312</v>
      </c>
      <c r="B170" s="3">
        <f>VLOOKUP("h1-txc"&amp;"-"&amp;A170,[1]flota_lineas_tp!$A$1:$F$65536,6,FALSE)</f>
        <v>0.32</v>
      </c>
      <c r="D170" s="1">
        <v>3312</v>
      </c>
      <c r="E170" s="3">
        <f>VLOOKUP("h2-txc"&amp;"-"&amp;D170,[1]flota_lineas_tp!$A$1:$F$65536,6,FALSE)</f>
        <v>0.66</v>
      </c>
      <c r="G170" s="1">
        <v>3312</v>
      </c>
      <c r="H170" s="3">
        <f>VLOOKUP("txc"&amp;"-"&amp;G170,[2]flota_lineas_tp!$A$1:$D$2000,4,FALSE)</f>
        <v>0.35</v>
      </c>
      <c r="J170" s="1">
        <v>3312</v>
      </c>
      <c r="K170" s="1">
        <f>VLOOKUP("txc"&amp;"-"&amp;J170,[3]flota_lineas_tp!$A$1:$D$2000,4,FALSE)</f>
        <v>1.53</v>
      </c>
      <c r="M170" s="1">
        <v>3312</v>
      </c>
    </row>
    <row r="171" spans="1:13" x14ac:dyDescent="0.2">
      <c r="A171" s="1">
        <v>33301</v>
      </c>
      <c r="B171" s="3">
        <f>VLOOKUP("h1-txc"&amp;"-"&amp;A171,[1]flota_lineas_tp!$A$1:$F$65536,6,FALSE)</f>
        <v>0.24</v>
      </c>
      <c r="D171" s="1">
        <v>33301</v>
      </c>
      <c r="E171" s="3">
        <f>VLOOKUP("h2-txc"&amp;"-"&amp;D171,[1]flota_lineas_tp!$A$1:$F$65536,6,FALSE)</f>
        <v>0.3</v>
      </c>
      <c r="G171" s="1">
        <v>33301</v>
      </c>
      <c r="H171" s="3">
        <f>VLOOKUP("txc"&amp;"-"&amp;G171,[2]flota_lineas_tp!$A$1:$D$2000,4,FALSE)</f>
        <v>0.26</v>
      </c>
      <c r="J171" s="1">
        <v>33301</v>
      </c>
      <c r="K171" s="1">
        <f>VLOOKUP("txc"&amp;"-"&amp;J171,[3]flota_lineas_tp!$A$1:$D$2000,4,FALSE)</f>
        <v>0.28999999999999998</v>
      </c>
      <c r="M171" s="1">
        <v>33301</v>
      </c>
    </row>
    <row r="172" spans="1:13" x14ac:dyDescent="0.2">
      <c r="A172" s="1">
        <v>33302</v>
      </c>
      <c r="B172" s="3">
        <f>VLOOKUP("h1-txc"&amp;"-"&amp;A172,[1]flota_lineas_tp!$A$1:$F$65536,6,FALSE)</f>
        <v>2.4300000000000002</v>
      </c>
      <c r="D172" s="1">
        <v>33302</v>
      </c>
      <c r="E172" s="3">
        <f>VLOOKUP("h2-txc"&amp;"-"&amp;D172,[1]flota_lineas_tp!$A$1:$F$65536,6,FALSE)</f>
        <v>6.13</v>
      </c>
      <c r="G172" s="1">
        <v>33302</v>
      </c>
      <c r="H172" s="3">
        <f>VLOOKUP("txc"&amp;"-"&amp;G172,[2]flota_lineas_tp!$A$1:$D$2000,4,FALSE)</f>
        <v>6.46</v>
      </c>
      <c r="J172" s="1">
        <v>33302</v>
      </c>
      <c r="K172" s="1">
        <f>VLOOKUP("txc"&amp;"-"&amp;J172,[3]flota_lineas_tp!$A$1:$D$2000,4,FALSE)</f>
        <v>3.07</v>
      </c>
      <c r="M172" s="1">
        <v>33302</v>
      </c>
    </row>
    <row r="173" spans="1:13" x14ac:dyDescent="0.2">
      <c r="A173" s="1">
        <v>3401</v>
      </c>
      <c r="B173" s="3">
        <f>VLOOKUP("h1-txc"&amp;"-"&amp;A173,[1]flota_lineas_tp!$A$1:$F$65536,6,FALSE)</f>
        <v>0.38</v>
      </c>
      <c r="D173" s="1">
        <v>3401</v>
      </c>
      <c r="E173" s="3">
        <f>VLOOKUP("h2-txc"&amp;"-"&amp;D173,[1]flota_lineas_tp!$A$1:$F$65536,6,FALSE)</f>
        <v>0.51</v>
      </c>
      <c r="G173" s="1">
        <v>3401</v>
      </c>
      <c r="H173" s="3">
        <f>VLOOKUP("txc"&amp;"-"&amp;G173,[2]flota_lineas_tp!$A$1:$D$2000,4,FALSE)</f>
        <v>1.17</v>
      </c>
      <c r="J173" s="1">
        <v>3401</v>
      </c>
      <c r="K173" s="1">
        <f>VLOOKUP("txc"&amp;"-"&amp;J173,[3]flota_lineas_tp!$A$1:$D$2000,4,FALSE)</f>
        <v>0.4</v>
      </c>
      <c r="M173" s="1">
        <v>3401</v>
      </c>
    </row>
    <row r="174" spans="1:13" x14ac:dyDescent="0.2">
      <c r="A174" s="1">
        <v>3402</v>
      </c>
      <c r="B174" s="3">
        <f>VLOOKUP("h1-txc"&amp;"-"&amp;A174,[1]flota_lineas_tp!$A$1:$F$65536,6,FALSE)</f>
        <v>0.45</v>
      </c>
      <c r="D174" s="1">
        <v>3402</v>
      </c>
      <c r="E174" s="3">
        <f>VLOOKUP("h2-txc"&amp;"-"&amp;D174,[1]flota_lineas_tp!$A$1:$F$65536,6,FALSE)</f>
        <v>3.95</v>
      </c>
      <c r="G174" s="1">
        <v>3402</v>
      </c>
      <c r="H174" s="3">
        <f>VLOOKUP("txc"&amp;"-"&amp;G174,[2]flota_lineas_tp!$A$1:$D$2000,4,FALSE)</f>
        <v>0.48</v>
      </c>
      <c r="J174" s="1">
        <v>3402</v>
      </c>
      <c r="K174" s="1">
        <f>VLOOKUP("txc"&amp;"-"&amp;J174,[3]flota_lineas_tp!$A$1:$D$2000,4,FALSE)</f>
        <v>1.34</v>
      </c>
      <c r="M174" s="1">
        <v>3402</v>
      </c>
    </row>
    <row r="175" spans="1:13" x14ac:dyDescent="0.2">
      <c r="A175" s="1">
        <v>3501</v>
      </c>
      <c r="B175" s="3">
        <f>VLOOKUP("h1-txc"&amp;"-"&amp;A175,[1]flota_lineas_tp!$A$1:$F$65536,6,FALSE)</f>
        <v>1.87</v>
      </c>
      <c r="D175" s="1">
        <v>3501</v>
      </c>
      <c r="E175" s="3">
        <f>VLOOKUP("h2-txc"&amp;"-"&amp;D175,[1]flota_lineas_tp!$A$1:$F$65536,6,FALSE)</f>
        <v>1.88</v>
      </c>
      <c r="G175" s="1">
        <v>3501</v>
      </c>
      <c r="H175" s="3">
        <f>VLOOKUP("txc"&amp;"-"&amp;G175,[2]flota_lineas_tp!$A$1:$D$2000,4,FALSE)</f>
        <v>0.59</v>
      </c>
      <c r="J175" s="1">
        <v>3501</v>
      </c>
      <c r="K175" s="1">
        <f>VLOOKUP("txc"&amp;"-"&amp;J175,[3]flota_lineas_tp!$A$1:$D$2000,4,FALSE)</f>
        <v>0.38</v>
      </c>
      <c r="M175" s="1">
        <v>3501</v>
      </c>
    </row>
    <row r="176" spans="1:13" x14ac:dyDescent="0.2">
      <c r="A176" s="1">
        <v>3502</v>
      </c>
      <c r="B176" s="3">
        <f>VLOOKUP("h1-txc"&amp;"-"&amp;A176,[1]flota_lineas_tp!$A$1:$F$65536,6,FALSE)</f>
        <v>0.37</v>
      </c>
      <c r="D176" s="1">
        <v>3502</v>
      </c>
      <c r="E176" s="3">
        <f>VLOOKUP("h2-txc"&amp;"-"&amp;D176,[1]flota_lineas_tp!$A$1:$F$65536,6,FALSE)</f>
        <v>0.45</v>
      </c>
      <c r="G176" s="1">
        <v>3502</v>
      </c>
      <c r="H176" s="3">
        <f>VLOOKUP("txc"&amp;"-"&amp;G176,[2]flota_lineas_tp!$A$1:$D$2000,4,FALSE)</f>
        <v>0.66</v>
      </c>
      <c r="J176" s="1">
        <v>3502</v>
      </c>
      <c r="K176" s="1">
        <f>VLOOKUP("txc"&amp;"-"&amp;J176,[3]flota_lineas_tp!$A$1:$D$2000,4,FALSE)</f>
        <v>2.96</v>
      </c>
      <c r="M176" s="1">
        <v>3502</v>
      </c>
    </row>
    <row r="177" spans="1:13" x14ac:dyDescent="0.2">
      <c r="A177" s="1">
        <v>3511</v>
      </c>
      <c r="B177" s="3">
        <f>VLOOKUP("h1-txc"&amp;"-"&amp;A177,[1]flota_lineas_tp!$A$1:$F$65536,6,FALSE)</f>
        <v>19.8</v>
      </c>
      <c r="D177" s="1">
        <v>3511</v>
      </c>
      <c r="E177" s="3">
        <f>VLOOKUP("h2-txc"&amp;"-"&amp;D177,[1]flota_lineas_tp!$A$1:$F$65536,6,FALSE)</f>
        <v>26.96</v>
      </c>
      <c r="G177" s="1">
        <v>3511</v>
      </c>
      <c r="H177" s="3">
        <f>VLOOKUP("txc"&amp;"-"&amp;G177,[2]flota_lineas_tp!$A$1:$D$2000,4,FALSE)</f>
        <v>2.21</v>
      </c>
      <c r="J177" s="1">
        <v>3511</v>
      </c>
      <c r="K177" s="1">
        <f>VLOOKUP("txc"&amp;"-"&amp;J177,[3]flota_lineas_tp!$A$1:$D$2000,4,FALSE)</f>
        <v>0.42</v>
      </c>
      <c r="M177" s="1">
        <v>3511</v>
      </c>
    </row>
    <row r="178" spans="1:13" x14ac:dyDescent="0.2">
      <c r="A178" s="1">
        <v>3512</v>
      </c>
      <c r="B178" s="3">
        <f>VLOOKUP("h1-txc"&amp;"-"&amp;A178,[1]flota_lineas_tp!$A$1:$F$65536,6,FALSE)</f>
        <v>0.38</v>
      </c>
      <c r="D178" s="1">
        <v>3512</v>
      </c>
      <c r="E178" s="3">
        <f>VLOOKUP("h2-txc"&amp;"-"&amp;D178,[1]flota_lineas_tp!$A$1:$F$65536,6,FALSE)</f>
        <v>2.0299999999999998</v>
      </c>
      <c r="G178" s="1">
        <v>3512</v>
      </c>
      <c r="H178" s="3">
        <f>VLOOKUP("txc"&amp;"-"&amp;G178,[2]flota_lineas_tp!$A$1:$D$2000,4,FALSE)</f>
        <v>0.81</v>
      </c>
      <c r="J178" s="1">
        <v>3512</v>
      </c>
      <c r="K178" s="1">
        <f>VLOOKUP("txc"&amp;"-"&amp;J178,[3]flota_lineas_tp!$A$1:$D$2000,4,FALSE)</f>
        <v>2.31</v>
      </c>
      <c r="M178" s="1">
        <v>3512</v>
      </c>
    </row>
    <row r="179" spans="1:13" x14ac:dyDescent="0.2">
      <c r="A179" s="1">
        <v>3601</v>
      </c>
      <c r="B179" s="3">
        <f>VLOOKUP("h1-txc"&amp;"-"&amp;A179,[1]flota_lineas_tp!$A$1:$F$65536,6,FALSE)</f>
        <v>0.31</v>
      </c>
      <c r="D179" s="1">
        <v>3601</v>
      </c>
      <c r="E179" s="3">
        <f>VLOOKUP("h2-txc"&amp;"-"&amp;D179,[1]flota_lineas_tp!$A$1:$F$65536,6,FALSE)</f>
        <v>0.46</v>
      </c>
      <c r="G179" s="1">
        <v>3601</v>
      </c>
      <c r="H179" s="3">
        <f>VLOOKUP("txc"&amp;"-"&amp;G179,[2]flota_lineas_tp!$A$1:$D$2000,4,FALSE)</f>
        <v>0.32</v>
      </c>
      <c r="J179" s="1">
        <v>3601</v>
      </c>
      <c r="K179" s="1">
        <f>VLOOKUP("txc"&amp;"-"&amp;J179,[3]flota_lineas_tp!$A$1:$D$2000,4,FALSE)</f>
        <v>12.28</v>
      </c>
      <c r="M179" s="1">
        <v>3601</v>
      </c>
    </row>
    <row r="180" spans="1:13" x14ac:dyDescent="0.2">
      <c r="A180" s="1">
        <v>3602</v>
      </c>
      <c r="B180" s="3">
        <f>VLOOKUP("h1-txc"&amp;"-"&amp;A180,[1]flota_lineas_tp!$A$1:$F$65536,6,FALSE)</f>
        <v>3.63</v>
      </c>
      <c r="D180" s="1">
        <v>3602</v>
      </c>
      <c r="E180" s="3">
        <f>VLOOKUP("h2-txc"&amp;"-"&amp;D180,[1]flota_lineas_tp!$A$1:$F$65536,6,FALSE)</f>
        <v>0.72</v>
      </c>
      <c r="G180" s="1">
        <v>3602</v>
      </c>
      <c r="H180" s="3">
        <f>VLOOKUP("txc"&amp;"-"&amp;G180,[2]flota_lineas_tp!$A$1:$D$2000,4,FALSE)</f>
        <v>9.42</v>
      </c>
      <c r="J180" s="1">
        <v>3602</v>
      </c>
      <c r="K180" s="1">
        <f>VLOOKUP("txc"&amp;"-"&amp;J180,[3]flota_lineas_tp!$A$1:$D$2000,4,FALSE)</f>
        <v>0.36</v>
      </c>
      <c r="M180" s="1">
        <v>3602</v>
      </c>
    </row>
    <row r="181" spans="1:13" x14ac:dyDescent="0.2">
      <c r="A181" s="1">
        <v>3801</v>
      </c>
      <c r="B181" s="3">
        <f>VLOOKUP("h1-txc"&amp;"-"&amp;A181,[1]flota_lineas_tp!$A$1:$F$65536,6,FALSE)</f>
        <v>2.36</v>
      </c>
      <c r="D181" s="1">
        <v>3801</v>
      </c>
      <c r="E181" s="3">
        <f>VLOOKUP("h2-txc"&amp;"-"&amp;D181,[1]flota_lineas_tp!$A$1:$F$65536,6,FALSE)</f>
        <v>3.78</v>
      </c>
      <c r="G181" s="1">
        <v>3801</v>
      </c>
      <c r="H181" s="3">
        <f>VLOOKUP("txc"&amp;"-"&amp;G181,[2]flota_lineas_tp!$A$1:$D$2000,4,FALSE)</f>
        <v>1.58</v>
      </c>
      <c r="J181" s="1">
        <v>3801</v>
      </c>
      <c r="K181" s="1">
        <f>VLOOKUP("txc"&amp;"-"&amp;J181,[3]flota_lineas_tp!$A$1:$D$2000,4,FALSE)</f>
        <v>1.62</v>
      </c>
      <c r="M181" s="1">
        <v>3801</v>
      </c>
    </row>
    <row r="182" spans="1:13" x14ac:dyDescent="0.2">
      <c r="A182" s="1">
        <v>3802</v>
      </c>
      <c r="B182" s="3">
        <f>VLOOKUP("h1-txc"&amp;"-"&amp;A182,[1]flota_lineas_tp!$A$1:$F$65536,6,FALSE)</f>
        <v>2.58</v>
      </c>
      <c r="D182" s="1">
        <v>3802</v>
      </c>
      <c r="E182" s="3">
        <f>VLOOKUP("h2-txc"&amp;"-"&amp;D182,[1]flota_lineas_tp!$A$1:$F$65536,6,FALSE)</f>
        <v>3.56</v>
      </c>
      <c r="G182" s="1">
        <v>3802</v>
      </c>
      <c r="H182" s="3">
        <f>VLOOKUP("txc"&amp;"-"&amp;G182,[2]flota_lineas_tp!$A$1:$D$2000,4,FALSE)</f>
        <v>1.1399999999999999</v>
      </c>
      <c r="J182" s="1">
        <v>3802</v>
      </c>
      <c r="K182" s="1">
        <f>VLOOKUP("txc"&amp;"-"&amp;J182,[3]flota_lineas_tp!$A$1:$D$2000,4,FALSE)</f>
        <v>1.76</v>
      </c>
      <c r="M182" s="1">
        <v>3802</v>
      </c>
    </row>
    <row r="183" spans="1:13" x14ac:dyDescent="0.2">
      <c r="A183" s="1">
        <v>3901</v>
      </c>
      <c r="B183" s="3">
        <f>VLOOKUP("h1-txc"&amp;"-"&amp;A183,[1]flota_lineas_tp!$A$1:$F$65536,6,FALSE)</f>
        <v>0.82</v>
      </c>
      <c r="D183" s="1">
        <v>3901</v>
      </c>
      <c r="E183" s="3">
        <f>VLOOKUP("h2-txc"&amp;"-"&amp;D183,[1]flota_lineas_tp!$A$1:$F$65536,6,FALSE)</f>
        <v>1.19</v>
      </c>
      <c r="G183" s="1">
        <v>3901</v>
      </c>
      <c r="H183" s="3">
        <f>VLOOKUP("txc"&amp;"-"&amp;G183,[2]flota_lineas_tp!$A$1:$D$2000,4,FALSE)</f>
        <v>2.2000000000000002</v>
      </c>
      <c r="J183" s="1">
        <v>3901</v>
      </c>
      <c r="K183" s="1">
        <f>VLOOKUP("txc"&amp;"-"&amp;J183,[3]flota_lineas_tp!$A$1:$D$2000,4,FALSE)</f>
        <v>24.56</v>
      </c>
      <c r="M183" s="1">
        <v>3901</v>
      </c>
    </row>
    <row r="184" spans="1:13" x14ac:dyDescent="0.2">
      <c r="A184" s="1">
        <v>3902</v>
      </c>
      <c r="B184" s="3">
        <f>VLOOKUP("h1-txc"&amp;"-"&amp;A184,[1]flota_lineas_tp!$A$1:$F$65536,6,FALSE)</f>
        <v>19.52</v>
      </c>
      <c r="D184" s="1">
        <v>3902</v>
      </c>
      <c r="E184" s="3">
        <f>VLOOKUP("h2-txc"&amp;"-"&amp;D184,[1]flota_lineas_tp!$A$1:$F$65536,6,FALSE)</f>
        <v>54.71</v>
      </c>
      <c r="G184" s="1">
        <v>3902</v>
      </c>
      <c r="H184" s="3">
        <f>VLOOKUP("txc"&amp;"-"&amp;G184,[2]flota_lineas_tp!$A$1:$D$2000,4,FALSE)</f>
        <v>1.56</v>
      </c>
      <c r="J184" s="1">
        <v>3902</v>
      </c>
      <c r="K184" s="1">
        <f>VLOOKUP("txc"&amp;"-"&amp;J184,[3]flota_lineas_tp!$A$1:$D$2000,4,FALSE)</f>
        <v>34.24</v>
      </c>
      <c r="M184" s="1">
        <v>3902</v>
      </c>
    </row>
    <row r="185" spans="1:13" x14ac:dyDescent="0.2">
      <c r="A185" s="1">
        <v>3911</v>
      </c>
      <c r="B185" s="3">
        <f>VLOOKUP("h1-txc"&amp;"-"&amp;A185,[1]flota_lineas_tp!$A$1:$F$65536,6,FALSE)</f>
        <v>0.19</v>
      </c>
      <c r="D185" s="1">
        <v>3911</v>
      </c>
      <c r="E185" s="3">
        <f>VLOOKUP("h2-txc"&amp;"-"&amp;D185,[1]flota_lineas_tp!$A$1:$F$65536,6,FALSE)</f>
        <v>1.88</v>
      </c>
      <c r="G185" s="1">
        <v>3911</v>
      </c>
      <c r="H185" s="3">
        <f>VLOOKUP("txc"&amp;"-"&amp;G185,[2]flota_lineas_tp!$A$1:$D$2000,4,FALSE)</f>
        <v>1.92</v>
      </c>
      <c r="J185" s="1">
        <v>3911</v>
      </c>
      <c r="K185" s="1">
        <f>VLOOKUP("txc"&amp;"-"&amp;J185,[3]flota_lineas_tp!$A$1:$D$2000,4,FALSE)</f>
        <v>0.4</v>
      </c>
      <c r="M185" s="1">
        <v>3911</v>
      </c>
    </row>
    <row r="186" spans="1:13" x14ac:dyDescent="0.2">
      <c r="A186" s="1">
        <v>3912</v>
      </c>
      <c r="B186" s="3">
        <f>VLOOKUP("h1-txc"&amp;"-"&amp;A186,[1]flota_lineas_tp!$A$1:$F$65536,6,FALSE)</f>
        <v>0.19</v>
      </c>
      <c r="D186" s="1">
        <v>3912</v>
      </c>
      <c r="E186" s="3">
        <f>VLOOKUP("h2-txc"&amp;"-"&amp;D186,[1]flota_lineas_tp!$A$1:$F$65536,6,FALSE)</f>
        <v>0.2</v>
      </c>
      <c r="G186" s="1">
        <v>3912</v>
      </c>
      <c r="H186" s="3">
        <f>VLOOKUP("txc"&amp;"-"&amp;G186,[2]flota_lineas_tp!$A$1:$D$2000,4,FALSE)</f>
        <v>0.19</v>
      </c>
      <c r="J186" s="1">
        <v>3912</v>
      </c>
      <c r="K186" s="1">
        <f>VLOOKUP("txc"&amp;"-"&amp;J186,[3]flota_lineas_tp!$A$1:$D$2000,4,FALSE)</f>
        <v>4.1500000000000004</v>
      </c>
      <c r="M186" s="1">
        <v>3912</v>
      </c>
    </row>
    <row r="187" spans="1:13" x14ac:dyDescent="0.2">
      <c r="A187" s="1">
        <v>3921</v>
      </c>
      <c r="B187" s="3">
        <f>VLOOKUP("h1-txc"&amp;"-"&amp;A187,[1]flota_lineas_tp!$A$1:$F$65536,6,FALSE)</f>
        <v>0.19</v>
      </c>
      <c r="D187" s="1">
        <v>3921</v>
      </c>
      <c r="E187" s="3">
        <f>VLOOKUP("h2-txc"&amp;"-"&amp;D187,[1]flota_lineas_tp!$A$1:$F$65536,6,FALSE)</f>
        <v>0.43</v>
      </c>
      <c r="G187" s="1">
        <v>3921</v>
      </c>
      <c r="H187" s="3">
        <f>VLOOKUP("txc"&amp;"-"&amp;G187,[2]flota_lineas_tp!$A$1:$D$2000,4,FALSE)</f>
        <v>0.19</v>
      </c>
      <c r="J187" s="1">
        <v>3921</v>
      </c>
      <c r="K187" s="1">
        <f>VLOOKUP("txc"&amp;"-"&amp;J187,[3]flota_lineas_tp!$A$1:$D$2000,4,FALSE)</f>
        <v>0.9</v>
      </c>
      <c r="M187" s="1">
        <v>3921</v>
      </c>
    </row>
    <row r="188" spans="1:13" x14ac:dyDescent="0.2">
      <c r="A188" s="1">
        <v>3922</v>
      </c>
      <c r="B188" s="3">
        <f>VLOOKUP("h1-txc"&amp;"-"&amp;A188,[1]flota_lineas_tp!$A$1:$F$65536,6,FALSE)</f>
        <v>0.21</v>
      </c>
      <c r="D188" s="1">
        <v>3922</v>
      </c>
      <c r="E188" s="3">
        <f>VLOOKUP("h2-txc"&amp;"-"&amp;D188,[1]flota_lineas_tp!$A$1:$F$65536,6,FALSE)</f>
        <v>0.23</v>
      </c>
      <c r="G188" s="1">
        <v>3922</v>
      </c>
      <c r="H188" s="3">
        <f>VLOOKUP("txc"&amp;"-"&amp;G188,[2]flota_lineas_tp!$A$1:$D$2000,4,FALSE)</f>
        <v>0.21</v>
      </c>
      <c r="J188" s="1">
        <v>3922</v>
      </c>
      <c r="K188" s="1">
        <f>VLOOKUP("txc"&amp;"-"&amp;J188,[3]flota_lineas_tp!$A$1:$D$2000,4,FALSE)</f>
        <v>1.34</v>
      </c>
      <c r="M188" s="1">
        <v>3922</v>
      </c>
    </row>
    <row r="189" spans="1:13" x14ac:dyDescent="0.2">
      <c r="A189" s="1">
        <v>3931</v>
      </c>
      <c r="B189" s="3">
        <f>VLOOKUP("h1-txc"&amp;"-"&amp;A189,[1]flota_lineas_tp!$A$1:$F$65536,6,FALSE)</f>
        <v>0.98</v>
      </c>
      <c r="D189" s="1">
        <v>3931</v>
      </c>
      <c r="E189" s="3">
        <f>VLOOKUP("h2-txc"&amp;"-"&amp;D189,[1]flota_lineas_tp!$A$1:$F$65536,6,FALSE)</f>
        <v>1.1100000000000001</v>
      </c>
      <c r="G189" s="1">
        <v>3931</v>
      </c>
      <c r="H189" s="3">
        <f>VLOOKUP("txc"&amp;"-"&amp;G189,[2]flota_lineas_tp!$A$1:$D$2000,4,FALSE)</f>
        <v>1.21</v>
      </c>
      <c r="J189" s="1">
        <v>3931</v>
      </c>
      <c r="K189" s="1">
        <f>VLOOKUP("txc"&amp;"-"&amp;J189,[3]flota_lineas_tp!$A$1:$D$2000,4,FALSE)</f>
        <v>3.54</v>
      </c>
      <c r="M189" s="1">
        <v>3931</v>
      </c>
    </row>
    <row r="190" spans="1:13" x14ac:dyDescent="0.2">
      <c r="A190" s="1">
        <v>3932</v>
      </c>
      <c r="B190" s="3">
        <f>VLOOKUP("h1-txc"&amp;"-"&amp;A190,[1]flota_lineas_tp!$A$1:$F$65536,6,FALSE)</f>
        <v>4.8099999999999996</v>
      </c>
      <c r="D190" s="1">
        <v>3932</v>
      </c>
      <c r="E190" s="3">
        <f>VLOOKUP("h2-txc"&amp;"-"&amp;D190,[1]flota_lineas_tp!$A$1:$F$65536,6,FALSE)</f>
        <v>5.5</v>
      </c>
      <c r="G190" s="1">
        <v>3932</v>
      </c>
      <c r="H190" s="3">
        <f>VLOOKUP("txc"&amp;"-"&amp;G190,[2]flota_lineas_tp!$A$1:$D$2000,4,FALSE)</f>
        <v>1.68</v>
      </c>
      <c r="J190" s="1">
        <v>3932</v>
      </c>
      <c r="K190" s="1">
        <f>VLOOKUP("txc"&amp;"-"&amp;J190,[3]flota_lineas_tp!$A$1:$D$2000,4,FALSE)</f>
        <v>1.82</v>
      </c>
      <c r="M190" s="1">
        <v>3932</v>
      </c>
    </row>
    <row r="191" spans="1:13" x14ac:dyDescent="0.2">
      <c r="A191" s="1">
        <v>321</v>
      </c>
      <c r="B191" s="3">
        <f>VLOOKUP("h1-txc"&amp;"-"&amp;A191,[1]flota_lineas_tp!$A$1:$F$65536,6,FALSE)</f>
        <v>0.26</v>
      </c>
      <c r="D191" s="1">
        <v>321</v>
      </c>
      <c r="E191" s="3">
        <f>VLOOKUP("h2-txc"&amp;"-"&amp;D191,[1]flota_lineas_tp!$A$1:$F$65536,6,FALSE)</f>
        <v>0.32</v>
      </c>
      <c r="G191" s="1">
        <v>321</v>
      </c>
      <c r="H191" s="3">
        <f>VLOOKUP("txc"&amp;"-"&amp;G191,[2]flota_lineas_tp!$A$1:$D$2000,4,FALSE)</f>
        <v>0.28000000000000003</v>
      </c>
      <c r="J191" s="1">
        <v>321</v>
      </c>
      <c r="K191" s="1">
        <f>VLOOKUP("txc"&amp;"-"&amp;J191,[3]flota_lineas_tp!$A$1:$D$2000,4,FALSE)</f>
        <v>0.31</v>
      </c>
      <c r="M191" s="1">
        <v>321</v>
      </c>
    </row>
    <row r="192" spans="1:13" x14ac:dyDescent="0.2">
      <c r="A192" s="1">
        <v>322</v>
      </c>
      <c r="B192" s="3">
        <f>VLOOKUP("h1-txc"&amp;"-"&amp;A192,[1]flota_lineas_tp!$A$1:$F$65536,6,FALSE)</f>
        <v>2.54</v>
      </c>
      <c r="D192" s="1">
        <v>322</v>
      </c>
      <c r="E192" s="3">
        <f>VLOOKUP("h2-txc"&amp;"-"&amp;D192,[1]flota_lineas_tp!$A$1:$F$65536,6,FALSE)</f>
        <v>9.52</v>
      </c>
      <c r="G192" s="1">
        <v>322</v>
      </c>
      <c r="H192" s="3">
        <f>VLOOKUP("txc"&amp;"-"&amp;G192,[2]flota_lineas_tp!$A$1:$D$2000,4,FALSE)</f>
        <v>5.38</v>
      </c>
      <c r="J192" s="1">
        <v>322</v>
      </c>
      <c r="K192" s="1">
        <f>VLOOKUP("txc"&amp;"-"&amp;J192,[3]flota_lineas_tp!$A$1:$D$2000,4,FALSE)</f>
        <v>3.2</v>
      </c>
      <c r="M192" s="1">
        <v>322</v>
      </c>
    </row>
    <row r="193" spans="1:13" x14ac:dyDescent="0.2">
      <c r="A193" s="1">
        <v>401</v>
      </c>
      <c r="B193" s="3">
        <f>VLOOKUP("h1-txc"&amp;"-"&amp;A193,[1]flota_lineas_tp!$A$1:$F$65536,6,FALSE)</f>
        <v>3.67</v>
      </c>
      <c r="D193" s="1">
        <v>401</v>
      </c>
      <c r="E193" s="3">
        <f>VLOOKUP("h2-txc"&amp;"-"&amp;D193,[1]flota_lineas_tp!$A$1:$F$65536,6,FALSE)</f>
        <v>9.01</v>
      </c>
      <c r="G193" s="1">
        <v>401</v>
      </c>
      <c r="H193" s="3">
        <f>VLOOKUP("txc"&amp;"-"&amp;G193,[2]flota_lineas_tp!$A$1:$D$2000,4,FALSE)</f>
        <v>10.39</v>
      </c>
      <c r="J193" s="1">
        <v>401</v>
      </c>
      <c r="K193" s="1">
        <f>VLOOKUP("txc"&amp;"-"&amp;J193,[3]flota_lineas_tp!$A$1:$D$2000,4,FALSE)</f>
        <v>12.39</v>
      </c>
      <c r="M193" s="1">
        <v>401</v>
      </c>
    </row>
    <row r="194" spans="1:13" x14ac:dyDescent="0.2">
      <c r="A194" s="1">
        <v>402</v>
      </c>
      <c r="B194" s="3">
        <f>VLOOKUP("h1-txc"&amp;"-"&amp;A194,[1]flota_lineas_tp!$A$1:$F$65536,6,FALSE)</f>
        <v>7.96</v>
      </c>
      <c r="D194" s="1">
        <v>402</v>
      </c>
      <c r="E194" s="3">
        <f>VLOOKUP("h2-txc"&amp;"-"&amp;D194,[1]flota_lineas_tp!$A$1:$F$65536,6,FALSE)</f>
        <v>13.36</v>
      </c>
      <c r="G194" s="1">
        <v>402</v>
      </c>
      <c r="H194" s="3">
        <f>VLOOKUP("txc"&amp;"-"&amp;G194,[2]flota_lineas_tp!$A$1:$D$2000,4,FALSE)</f>
        <v>5.86</v>
      </c>
      <c r="J194" s="1">
        <v>402</v>
      </c>
      <c r="K194" s="1">
        <f>VLOOKUP("txc"&amp;"-"&amp;J194,[3]flota_lineas_tp!$A$1:$D$2000,4,FALSE)</f>
        <v>11.5</v>
      </c>
      <c r="M194" s="1">
        <v>402</v>
      </c>
    </row>
    <row r="195" spans="1:13" x14ac:dyDescent="0.2">
      <c r="A195" s="1">
        <v>4001</v>
      </c>
      <c r="B195" s="3">
        <f>VLOOKUP("h1-txc"&amp;"-"&amp;A195,[1]flota_lineas_tp!$A$1:$F$65536,6,FALSE)</f>
        <v>0.23</v>
      </c>
      <c r="D195" s="1">
        <v>4001</v>
      </c>
      <c r="E195" s="3">
        <f>VLOOKUP("h2-txc"&amp;"-"&amp;D195,[1]flota_lineas_tp!$A$1:$F$65536,6,FALSE)</f>
        <v>3.71</v>
      </c>
      <c r="G195" s="1">
        <v>4001</v>
      </c>
      <c r="H195" s="3">
        <f>VLOOKUP("txc"&amp;"-"&amp;G195,[2]flota_lineas_tp!$A$1:$D$2000,4,FALSE)</f>
        <v>0.12</v>
      </c>
      <c r="J195" s="1">
        <v>4001</v>
      </c>
      <c r="K195" s="1">
        <f>VLOOKUP("txc"&amp;"-"&amp;J195,[3]flota_lineas_tp!$A$1:$D$2000,4,FALSE)</f>
        <v>0.37</v>
      </c>
      <c r="M195" s="1">
        <v>4001</v>
      </c>
    </row>
    <row r="196" spans="1:13" x14ac:dyDescent="0.2">
      <c r="A196" s="1">
        <v>4002</v>
      </c>
      <c r="B196" s="3">
        <f>VLOOKUP("h1-txc"&amp;"-"&amp;A196,[1]flota_lineas_tp!$A$1:$F$65536,6,FALSE)</f>
        <v>0.22</v>
      </c>
      <c r="D196" s="1">
        <v>4002</v>
      </c>
      <c r="E196" s="3">
        <f>VLOOKUP("h2-txc"&amp;"-"&amp;D196,[1]flota_lineas_tp!$A$1:$F$65536,6,FALSE)</f>
        <v>0.14000000000000001</v>
      </c>
      <c r="G196" s="1">
        <v>4002</v>
      </c>
      <c r="H196" s="3">
        <f>VLOOKUP("txc"&amp;"-"&amp;G196,[2]flota_lineas_tp!$A$1:$D$2000,4,FALSE)</f>
        <v>0.38</v>
      </c>
      <c r="J196" s="1">
        <v>4002</v>
      </c>
      <c r="K196" s="1">
        <f>VLOOKUP("txc"&amp;"-"&amp;J196,[3]flota_lineas_tp!$A$1:$D$2000,4,FALSE)</f>
        <v>1.29</v>
      </c>
      <c r="M196" s="1">
        <v>4002</v>
      </c>
    </row>
    <row r="197" spans="1:13" x14ac:dyDescent="0.2">
      <c r="A197" s="1">
        <v>4011</v>
      </c>
      <c r="B197" s="3">
        <f>VLOOKUP("h1-txc"&amp;"-"&amp;A197,[1]flota_lineas_tp!$A$1:$F$65536,6,FALSE)</f>
        <v>0.12</v>
      </c>
      <c r="D197" s="1">
        <v>4011</v>
      </c>
      <c r="E197" s="3">
        <f>VLOOKUP("h2-txc"&amp;"-"&amp;D197,[1]flota_lineas_tp!$A$1:$F$65536,6,FALSE)</f>
        <v>0.13</v>
      </c>
      <c r="G197" s="1">
        <v>4011</v>
      </c>
      <c r="H197" s="3">
        <f>VLOOKUP("txc"&amp;"-"&amp;G197,[2]flota_lineas_tp!$A$1:$D$2000,4,FALSE)</f>
        <v>0.12</v>
      </c>
      <c r="J197" s="1">
        <v>4011</v>
      </c>
      <c r="K197" s="1">
        <f>VLOOKUP("txc"&amp;"-"&amp;J197,[3]flota_lineas_tp!$A$1:$D$2000,4,FALSE)</f>
        <v>4.97</v>
      </c>
      <c r="M197" s="1">
        <v>4011</v>
      </c>
    </row>
    <row r="198" spans="1:13" x14ac:dyDescent="0.2">
      <c r="A198" s="1">
        <v>4012</v>
      </c>
      <c r="B198" s="3">
        <f>VLOOKUP("h1-txc"&amp;"-"&amp;A198,[1]flota_lineas_tp!$A$1:$F$65536,6,FALSE)</f>
        <v>0.22</v>
      </c>
      <c r="D198" s="1">
        <v>4012</v>
      </c>
      <c r="E198" s="3">
        <f>VLOOKUP("h2-txc"&amp;"-"&amp;D198,[1]flota_lineas_tp!$A$1:$F$65536,6,FALSE)</f>
        <v>0.14000000000000001</v>
      </c>
      <c r="G198" s="1">
        <v>4012</v>
      </c>
      <c r="H198" s="3">
        <f>VLOOKUP("txc"&amp;"-"&amp;G198,[2]flota_lineas_tp!$A$1:$D$2000,4,FALSE)</f>
        <v>0.35</v>
      </c>
      <c r="J198" s="1">
        <v>4012</v>
      </c>
      <c r="K198" s="1">
        <f>VLOOKUP("txc"&amp;"-"&amp;J198,[3]flota_lineas_tp!$A$1:$D$2000,4,FALSE)</f>
        <v>3.4</v>
      </c>
      <c r="M198" s="1">
        <v>4012</v>
      </c>
    </row>
    <row r="199" spans="1:13" x14ac:dyDescent="0.2">
      <c r="A199" s="1">
        <v>4101</v>
      </c>
      <c r="B199" s="3">
        <f>VLOOKUP("h1-txc"&amp;"-"&amp;A199,[1]flota_lineas_tp!$A$1:$F$65536,6,FALSE)</f>
        <v>2.42</v>
      </c>
      <c r="D199" s="1">
        <v>4101</v>
      </c>
      <c r="E199" s="3">
        <f>VLOOKUP("h2-txc"&amp;"-"&amp;D199,[1]flota_lineas_tp!$A$1:$F$65536,6,FALSE)</f>
        <v>2.12</v>
      </c>
      <c r="G199" s="1">
        <v>4101</v>
      </c>
      <c r="H199" s="3">
        <f>VLOOKUP("txc"&amp;"-"&amp;G199,[2]flota_lineas_tp!$A$1:$D$2000,4,FALSE)</f>
        <v>0.79</v>
      </c>
      <c r="J199" s="1">
        <v>4101</v>
      </c>
      <c r="K199" s="1">
        <f>VLOOKUP("txc"&amp;"-"&amp;J199,[3]flota_lineas_tp!$A$1:$D$2000,4,FALSE)</f>
        <v>4.72</v>
      </c>
      <c r="M199" s="1">
        <v>4101</v>
      </c>
    </row>
    <row r="200" spans="1:13" x14ac:dyDescent="0.2">
      <c r="A200" s="1">
        <v>4102</v>
      </c>
      <c r="B200" s="3">
        <f>VLOOKUP("h1-txc"&amp;"-"&amp;A200,[1]flota_lineas_tp!$A$1:$F$65536,6,FALSE)</f>
        <v>3.76</v>
      </c>
      <c r="D200" s="1">
        <v>4102</v>
      </c>
      <c r="E200" s="3">
        <f>VLOOKUP("h2-txc"&amp;"-"&amp;D200,[1]flota_lineas_tp!$A$1:$F$65536,6,FALSE)</f>
        <v>1.92</v>
      </c>
      <c r="G200" s="1">
        <v>4102</v>
      </c>
      <c r="H200" s="3">
        <f>VLOOKUP("txc"&amp;"-"&amp;G200,[2]flota_lineas_tp!$A$1:$D$2000,4,FALSE)</f>
        <v>0.74</v>
      </c>
      <c r="J200" s="1">
        <v>4102</v>
      </c>
      <c r="K200" s="1">
        <f>VLOOKUP("txc"&amp;"-"&amp;J200,[3]flota_lineas_tp!$A$1:$D$2000,4,FALSE)</f>
        <v>1.08</v>
      </c>
      <c r="M200" s="1">
        <v>4102</v>
      </c>
    </row>
    <row r="201" spans="1:13" x14ac:dyDescent="0.2">
      <c r="A201" s="1">
        <v>4201</v>
      </c>
      <c r="B201" s="3">
        <f>VLOOKUP("h1-txc"&amp;"-"&amp;A201,[1]flota_lineas_tp!$A$1:$F$65536,6,FALSE)</f>
        <v>3.61</v>
      </c>
      <c r="D201" s="1">
        <v>4201</v>
      </c>
      <c r="E201" s="3">
        <f>VLOOKUP("h2-txc"&amp;"-"&amp;D201,[1]flota_lineas_tp!$A$1:$F$65536,6,FALSE)</f>
        <v>9.07</v>
      </c>
      <c r="G201" s="1">
        <v>4201</v>
      </c>
      <c r="H201" s="3">
        <f>VLOOKUP("txc"&amp;"-"&amp;G201,[2]flota_lineas_tp!$A$1:$D$2000,4,FALSE)</f>
        <v>5.36</v>
      </c>
      <c r="J201" s="1">
        <v>4201</v>
      </c>
      <c r="K201" s="1">
        <f>VLOOKUP("txc"&amp;"-"&amp;J201,[3]flota_lineas_tp!$A$1:$D$2000,4,FALSE)</f>
        <v>3.72</v>
      </c>
      <c r="M201" s="1">
        <v>4201</v>
      </c>
    </row>
    <row r="202" spans="1:13" x14ac:dyDescent="0.2">
      <c r="A202" s="1">
        <v>4202</v>
      </c>
      <c r="B202" s="3">
        <f>VLOOKUP("h1-txc"&amp;"-"&amp;A202,[1]flota_lineas_tp!$A$1:$F$65536,6,FALSE)</f>
        <v>0.43</v>
      </c>
      <c r="D202" s="1">
        <v>4202</v>
      </c>
      <c r="E202" s="3">
        <f>VLOOKUP("h2-txc"&amp;"-"&amp;D202,[1]flota_lineas_tp!$A$1:$F$65536,6,FALSE)</f>
        <v>0.49</v>
      </c>
      <c r="G202" s="1">
        <v>4202</v>
      </c>
      <c r="H202" s="3">
        <f>VLOOKUP("txc"&amp;"-"&amp;G202,[2]flota_lineas_tp!$A$1:$D$2000,4,FALSE)</f>
        <v>0.45</v>
      </c>
      <c r="J202" s="1">
        <v>4202</v>
      </c>
      <c r="K202" s="1">
        <f>VLOOKUP("txc"&amp;"-"&amp;J202,[3]flota_lineas_tp!$A$1:$D$2000,4,FALSE)</f>
        <v>20.149999999999999</v>
      </c>
      <c r="M202" s="1">
        <v>4202</v>
      </c>
    </row>
    <row r="203" spans="1:13" x14ac:dyDescent="0.2">
      <c r="A203" s="1">
        <v>4301</v>
      </c>
      <c r="B203" s="3">
        <f>VLOOKUP("h1-txc"&amp;"-"&amp;A203,[1]flota_lineas_tp!$A$1:$F$65536,6,FALSE)</f>
        <v>45.79</v>
      </c>
      <c r="D203" s="1">
        <v>4301</v>
      </c>
      <c r="E203" s="3">
        <f>VLOOKUP("h2-txc"&amp;"-"&amp;D203,[1]flota_lineas_tp!$A$1:$F$65536,6,FALSE)</f>
        <v>15.75</v>
      </c>
      <c r="G203" s="1">
        <v>4301</v>
      </c>
      <c r="H203" s="3">
        <f>VLOOKUP("txc"&amp;"-"&amp;G203,[2]flota_lineas_tp!$A$1:$D$2000,4,FALSE)</f>
        <v>27.08</v>
      </c>
      <c r="J203" s="1">
        <v>4301</v>
      </c>
      <c r="K203" s="1">
        <f>VLOOKUP("txc"&amp;"-"&amp;J203,[3]flota_lineas_tp!$A$1:$D$2000,4,FALSE)</f>
        <v>13.26</v>
      </c>
      <c r="M203" s="1">
        <v>4301</v>
      </c>
    </row>
    <row r="204" spans="1:13" x14ac:dyDescent="0.2">
      <c r="A204" s="1">
        <v>4302</v>
      </c>
      <c r="B204" s="3">
        <f>VLOOKUP("h1-txc"&amp;"-"&amp;A204,[1]flota_lineas_tp!$A$1:$F$65536,6,FALSE)</f>
        <v>0.63</v>
      </c>
      <c r="D204" s="1">
        <v>4302</v>
      </c>
      <c r="E204" s="3">
        <f>VLOOKUP("h2-txc"&amp;"-"&amp;D204,[1]flota_lineas_tp!$A$1:$F$65536,6,FALSE)</f>
        <v>0.72</v>
      </c>
      <c r="G204" s="1">
        <v>4302</v>
      </c>
      <c r="H204" s="3">
        <f>VLOOKUP("txc"&amp;"-"&amp;G204,[2]flota_lineas_tp!$A$1:$D$2000,4,FALSE)</f>
        <v>0.66</v>
      </c>
      <c r="J204" s="1">
        <v>4302</v>
      </c>
      <c r="K204" s="1">
        <f>VLOOKUP("txc"&amp;"-"&amp;J204,[3]flota_lineas_tp!$A$1:$D$2000,4,FALSE)</f>
        <v>4.1100000000000003</v>
      </c>
      <c r="M204" s="1">
        <v>4302</v>
      </c>
    </row>
    <row r="205" spans="1:13" x14ac:dyDescent="0.2">
      <c r="A205" s="1">
        <v>4411</v>
      </c>
      <c r="B205" s="3">
        <f>VLOOKUP("h1-txc"&amp;"-"&amp;A205,[1]flota_lineas_tp!$A$1:$F$65536,6,FALSE)</f>
        <v>1.01</v>
      </c>
      <c r="D205" s="1">
        <v>4411</v>
      </c>
      <c r="E205" s="3">
        <f>VLOOKUP("h2-txc"&amp;"-"&amp;D205,[1]flota_lineas_tp!$A$1:$F$65536,6,FALSE)</f>
        <v>0.7</v>
      </c>
      <c r="G205" s="1">
        <v>4411</v>
      </c>
      <c r="H205" s="3">
        <f>VLOOKUP("txc"&amp;"-"&amp;G205,[2]flota_lineas_tp!$A$1:$D$2000,4,FALSE)</f>
        <v>1.07</v>
      </c>
      <c r="J205" s="1">
        <v>4411</v>
      </c>
      <c r="K205" s="1">
        <f>VLOOKUP("txc"&amp;"-"&amp;J205,[3]flota_lineas_tp!$A$1:$D$2000,4,FALSE)</f>
        <v>1.89</v>
      </c>
      <c r="M205" s="1">
        <v>4411</v>
      </c>
    </row>
    <row r="206" spans="1:13" x14ac:dyDescent="0.2">
      <c r="A206" s="1">
        <v>4412</v>
      </c>
      <c r="B206" s="3">
        <f>VLOOKUP("h1-txc"&amp;"-"&amp;A206,[1]flota_lineas_tp!$A$1:$F$65536,6,FALSE)</f>
        <v>0.28999999999999998</v>
      </c>
      <c r="D206" s="1">
        <v>4412</v>
      </c>
      <c r="E206" s="3">
        <f>VLOOKUP("h2-txc"&amp;"-"&amp;D206,[1]flota_lineas_tp!$A$1:$F$65536,6,FALSE)</f>
        <v>1.97</v>
      </c>
      <c r="G206" s="1">
        <v>4412</v>
      </c>
      <c r="H206" s="3">
        <f>VLOOKUP("txc"&amp;"-"&amp;G206,[2]flota_lineas_tp!$A$1:$D$2000,4,FALSE)</f>
        <v>3.19</v>
      </c>
      <c r="J206" s="1">
        <v>4412</v>
      </c>
      <c r="K206" s="1">
        <f>VLOOKUP("txc"&amp;"-"&amp;J206,[3]flota_lineas_tp!$A$1:$D$2000,4,FALSE)</f>
        <v>3.84</v>
      </c>
      <c r="M206" s="1">
        <v>4412</v>
      </c>
    </row>
    <row r="207" spans="1:13" x14ac:dyDescent="0.2">
      <c r="A207" s="1">
        <v>4401</v>
      </c>
      <c r="B207" s="3">
        <f>VLOOKUP("h1-txc"&amp;"-"&amp;A207,[1]flota_lineas_tp!$A$1:$F$65536,6,FALSE)</f>
        <v>0.55000000000000004</v>
      </c>
      <c r="D207" s="1">
        <v>4401</v>
      </c>
      <c r="E207" s="3">
        <f>VLOOKUP("h2-txc"&amp;"-"&amp;D207,[1]flota_lineas_tp!$A$1:$F$65536,6,FALSE)</f>
        <v>26.23</v>
      </c>
      <c r="G207" s="1">
        <v>4401</v>
      </c>
      <c r="H207" s="3">
        <f>VLOOKUP("txc"&amp;"-"&amp;G207,[2]flota_lineas_tp!$A$1:$D$2000,4,FALSE)</f>
        <v>4.49</v>
      </c>
      <c r="J207" s="1">
        <v>4401</v>
      </c>
      <c r="K207" s="1">
        <f>VLOOKUP("txc"&amp;"-"&amp;J207,[3]flota_lineas_tp!$A$1:$D$2000,4,FALSE)</f>
        <v>13.53</v>
      </c>
      <c r="M207" s="1">
        <v>4401</v>
      </c>
    </row>
    <row r="208" spans="1:13" x14ac:dyDescent="0.2">
      <c r="A208" s="1">
        <v>4402</v>
      </c>
      <c r="B208" s="3">
        <f>VLOOKUP("h1-txc"&amp;"-"&amp;A208,[1]flota_lineas_tp!$A$1:$F$65536,6,FALSE)</f>
        <v>5.63</v>
      </c>
      <c r="D208" s="1">
        <v>4402</v>
      </c>
      <c r="E208" s="3">
        <f>VLOOKUP("h2-txc"&amp;"-"&amp;D208,[1]flota_lineas_tp!$A$1:$F$65536,6,FALSE)</f>
        <v>6.32</v>
      </c>
      <c r="G208" s="1">
        <v>4402</v>
      </c>
      <c r="H208" s="3">
        <f>VLOOKUP("txc"&amp;"-"&amp;G208,[2]flota_lineas_tp!$A$1:$D$2000,4,FALSE)</f>
        <v>2.0099999999999998</v>
      </c>
      <c r="J208" s="1">
        <v>4402</v>
      </c>
      <c r="K208" s="1">
        <f>VLOOKUP("txc"&amp;"-"&amp;J208,[3]flota_lineas_tp!$A$1:$D$2000,4,FALSE)</f>
        <v>17.34</v>
      </c>
      <c r="M208" s="1">
        <v>4402</v>
      </c>
    </row>
    <row r="209" spans="1:13" x14ac:dyDescent="0.2">
      <c r="A209" s="1">
        <v>4501</v>
      </c>
      <c r="B209" s="3">
        <f>VLOOKUP("h1-txc"&amp;"-"&amp;A209,[1]flota_lineas_tp!$A$1:$F$65536,6,FALSE)</f>
        <v>3.62</v>
      </c>
      <c r="D209" s="1">
        <v>4501</v>
      </c>
      <c r="E209" s="3">
        <f>VLOOKUP("h2-txc"&amp;"-"&amp;D209,[1]flota_lineas_tp!$A$1:$F$65536,6,FALSE)</f>
        <v>0.26</v>
      </c>
      <c r="G209" s="1">
        <v>4501</v>
      </c>
      <c r="H209" s="3">
        <f>VLOOKUP("txc"&amp;"-"&amp;G209,[2]flota_lineas_tp!$A$1:$D$2000,4,FALSE)</f>
        <v>0.28999999999999998</v>
      </c>
      <c r="J209" s="1">
        <v>4501</v>
      </c>
      <c r="K209" s="1">
        <f>VLOOKUP("txc"&amp;"-"&amp;J209,[3]flota_lineas_tp!$A$1:$D$2000,4,FALSE)</f>
        <v>0.23</v>
      </c>
      <c r="M209" s="1">
        <v>4501</v>
      </c>
    </row>
    <row r="210" spans="1:13" x14ac:dyDescent="0.2">
      <c r="A210" s="1">
        <v>4502</v>
      </c>
      <c r="B210" s="3">
        <f>VLOOKUP("h1-txc"&amp;"-"&amp;A210,[1]flota_lineas_tp!$A$1:$F$65536,6,FALSE)</f>
        <v>5.08</v>
      </c>
      <c r="D210" s="1">
        <v>4502</v>
      </c>
      <c r="E210" s="3">
        <f>VLOOKUP("h2-txc"&amp;"-"&amp;D210,[1]flota_lineas_tp!$A$1:$F$65536,6,FALSE)</f>
        <v>0.72</v>
      </c>
      <c r="G210" s="1">
        <v>4502</v>
      </c>
      <c r="H210" s="3">
        <f>VLOOKUP("txc"&amp;"-"&amp;G210,[2]flota_lineas_tp!$A$1:$D$2000,4,FALSE)</f>
        <v>0.24</v>
      </c>
      <c r="J210" s="1">
        <v>4502</v>
      </c>
      <c r="K210" s="1">
        <f>VLOOKUP("txc"&amp;"-"&amp;J210,[3]flota_lineas_tp!$A$1:$D$2000,4,FALSE)</f>
        <v>0.24</v>
      </c>
      <c r="M210" s="1">
        <v>4502</v>
      </c>
    </row>
    <row r="211" spans="1:13" x14ac:dyDescent="0.2">
      <c r="A211" s="1">
        <v>4511</v>
      </c>
      <c r="B211" s="3">
        <f>VLOOKUP("h1-txc"&amp;"-"&amp;A211,[1]flota_lineas_tp!$A$1:$F$65536,6,FALSE)</f>
        <v>6.87</v>
      </c>
      <c r="D211" s="1">
        <v>4511</v>
      </c>
      <c r="E211" s="3">
        <f>VLOOKUP("h2-txc"&amp;"-"&amp;D211,[1]flota_lineas_tp!$A$1:$F$65536,6,FALSE)</f>
        <v>31</v>
      </c>
      <c r="G211" s="1">
        <v>4511</v>
      </c>
      <c r="H211" s="3">
        <f>VLOOKUP("txc"&amp;"-"&amp;G211,[2]flota_lineas_tp!$A$1:$D$2000,4,FALSE)</f>
        <v>4.5</v>
      </c>
      <c r="J211" s="1">
        <v>4511</v>
      </c>
      <c r="K211" s="1">
        <f>VLOOKUP("txc"&amp;"-"&amp;J211,[3]flota_lineas_tp!$A$1:$D$2000,4,FALSE)</f>
        <v>1.19</v>
      </c>
      <c r="M211" s="1">
        <v>4511</v>
      </c>
    </row>
    <row r="212" spans="1:13" x14ac:dyDescent="0.2">
      <c r="A212" s="1">
        <v>4512</v>
      </c>
      <c r="B212" s="3">
        <f>VLOOKUP("h1-txc"&amp;"-"&amp;A212,[1]flota_lineas_tp!$A$1:$F$65536,6,FALSE)</f>
        <v>1.23</v>
      </c>
      <c r="D212" s="1">
        <v>4512</v>
      </c>
      <c r="E212" s="3">
        <f>VLOOKUP("h2-txc"&amp;"-"&amp;D212,[1]flota_lineas_tp!$A$1:$F$65536,6,FALSE)</f>
        <v>5.88</v>
      </c>
      <c r="G212" s="1">
        <v>4512</v>
      </c>
      <c r="H212" s="3">
        <f>VLOOKUP("txc"&amp;"-"&amp;G212,[2]flota_lineas_tp!$A$1:$D$2000,4,FALSE)</f>
        <v>17.87</v>
      </c>
      <c r="J212" s="1">
        <v>4512</v>
      </c>
      <c r="K212" s="1">
        <f>VLOOKUP("txc"&amp;"-"&amp;J212,[3]flota_lineas_tp!$A$1:$D$2000,4,FALSE)</f>
        <v>1.1399999999999999</v>
      </c>
      <c r="M212" s="1">
        <v>4512</v>
      </c>
    </row>
    <row r="213" spans="1:13" x14ac:dyDescent="0.2">
      <c r="A213" s="1">
        <v>4601</v>
      </c>
      <c r="B213" s="3">
        <f>VLOOKUP("h1-txc"&amp;"-"&amp;A213,[1]flota_lineas_tp!$A$1:$F$65536,6,FALSE)</f>
        <v>0.19</v>
      </c>
      <c r="D213" s="1">
        <v>4601</v>
      </c>
      <c r="E213" s="3">
        <f>VLOOKUP("h2-txc"&amp;"-"&amp;D213,[1]flota_lineas_tp!$A$1:$F$65536,6,FALSE)</f>
        <v>0.2</v>
      </c>
      <c r="G213" s="1">
        <v>4601</v>
      </c>
      <c r="H213" s="3">
        <f>VLOOKUP("txc"&amp;"-"&amp;G213,[2]flota_lineas_tp!$A$1:$D$2000,4,FALSE)</f>
        <v>0.19</v>
      </c>
      <c r="J213" s="1">
        <v>4601</v>
      </c>
      <c r="K213" s="1">
        <f>VLOOKUP("txc"&amp;"-"&amp;J213,[3]flota_lineas_tp!$A$1:$D$2000,4,FALSE)</f>
        <v>5.97</v>
      </c>
      <c r="M213" s="1">
        <v>4601</v>
      </c>
    </row>
    <row r="214" spans="1:13" x14ac:dyDescent="0.2">
      <c r="A214" s="1">
        <v>4602</v>
      </c>
      <c r="B214" s="3">
        <f>VLOOKUP("h1-txc"&amp;"-"&amp;A214,[1]flota_lineas_tp!$A$1:$F$65536,6,FALSE)</f>
        <v>0.7</v>
      </c>
      <c r="D214" s="1">
        <v>4602</v>
      </c>
      <c r="E214" s="3">
        <f>VLOOKUP("h2-txc"&amp;"-"&amp;D214,[1]flota_lineas_tp!$A$1:$F$65536,6,FALSE)</f>
        <v>2.35</v>
      </c>
      <c r="G214" s="1">
        <v>4602</v>
      </c>
      <c r="H214" s="3">
        <f>VLOOKUP("txc"&amp;"-"&amp;G214,[2]flota_lineas_tp!$A$1:$D$2000,4,FALSE)</f>
        <v>1.47</v>
      </c>
      <c r="J214" s="1">
        <v>4602</v>
      </c>
      <c r="K214" s="1">
        <f>VLOOKUP("txc"&amp;"-"&amp;J214,[3]flota_lineas_tp!$A$1:$D$2000,4,FALSE)</f>
        <v>0.93</v>
      </c>
      <c r="M214" s="1">
        <v>4602</v>
      </c>
    </row>
    <row r="215" spans="1:13" x14ac:dyDescent="0.2">
      <c r="A215" s="1">
        <v>4711</v>
      </c>
      <c r="B215" s="3">
        <f>VLOOKUP("h1-txc"&amp;"-"&amp;A215,[1]flota_lineas_tp!$A$1:$F$65536,6,FALSE)</f>
        <v>3.38</v>
      </c>
      <c r="D215" s="1">
        <v>4711</v>
      </c>
      <c r="E215" s="3">
        <f>VLOOKUP("h2-txc"&amp;"-"&amp;D215,[1]flota_lineas_tp!$A$1:$F$65536,6,FALSE)</f>
        <v>92.85</v>
      </c>
      <c r="G215" s="1">
        <v>4711</v>
      </c>
      <c r="H215" s="3">
        <f>VLOOKUP("txc"&amp;"-"&amp;G215,[2]flota_lineas_tp!$A$1:$D$2000,4,FALSE)</f>
        <v>22.66</v>
      </c>
      <c r="J215" s="1">
        <v>4711</v>
      </c>
      <c r="K215" s="1">
        <f>VLOOKUP("txc"&amp;"-"&amp;J215,[3]flota_lineas_tp!$A$1:$D$2000,4,FALSE)</f>
        <v>5.1100000000000003</v>
      </c>
      <c r="M215" s="1">
        <v>4711</v>
      </c>
    </row>
    <row r="216" spans="1:13" x14ac:dyDescent="0.2">
      <c r="A216" s="1">
        <v>4712</v>
      </c>
      <c r="B216" s="3">
        <f>VLOOKUP("h1-txc"&amp;"-"&amp;A216,[1]flota_lineas_tp!$A$1:$F$65536,6,FALSE)</f>
        <v>0.72</v>
      </c>
      <c r="D216" s="1">
        <v>4712</v>
      </c>
      <c r="E216" s="3">
        <f>VLOOKUP("h2-txc"&amp;"-"&amp;D216,[1]flota_lineas_tp!$A$1:$F$65536,6,FALSE)</f>
        <v>2.92</v>
      </c>
      <c r="G216" s="1">
        <v>4712</v>
      </c>
      <c r="H216" s="3">
        <f>VLOOKUP("txc"&amp;"-"&amp;G216,[2]flota_lineas_tp!$A$1:$D$2000,4,FALSE)</f>
        <v>3.14</v>
      </c>
      <c r="J216" s="1">
        <v>4712</v>
      </c>
      <c r="K216" s="1">
        <f>VLOOKUP("txc"&amp;"-"&amp;J216,[3]flota_lineas_tp!$A$1:$D$2000,4,FALSE)</f>
        <v>1.04</v>
      </c>
      <c r="M216" s="1">
        <v>4712</v>
      </c>
    </row>
    <row r="217" spans="1:13" x14ac:dyDescent="0.2">
      <c r="A217" s="1">
        <v>4701</v>
      </c>
      <c r="B217" s="3">
        <f>VLOOKUP("h1-txc"&amp;"-"&amp;A217,[1]flota_lineas_tp!$A$1:$F$65536,6,FALSE)</f>
        <v>2.66</v>
      </c>
      <c r="D217" s="1">
        <v>4701</v>
      </c>
      <c r="E217" s="3">
        <f>VLOOKUP("h2-txc"&amp;"-"&amp;D217,[1]flota_lineas_tp!$A$1:$F$65536,6,FALSE)</f>
        <v>1.3</v>
      </c>
      <c r="G217" s="1">
        <v>4701</v>
      </c>
      <c r="H217" s="3">
        <f>VLOOKUP("txc"&amp;"-"&amp;G217,[2]flota_lineas_tp!$A$1:$D$2000,4,FALSE)</f>
        <v>1.1000000000000001</v>
      </c>
      <c r="J217" s="1">
        <v>4701</v>
      </c>
      <c r="K217" s="1">
        <f>VLOOKUP("txc"&amp;"-"&amp;J217,[3]flota_lineas_tp!$A$1:$D$2000,4,FALSE)</f>
        <v>1.34</v>
      </c>
      <c r="M217" s="1">
        <v>4701</v>
      </c>
    </row>
    <row r="218" spans="1:13" x14ac:dyDescent="0.2">
      <c r="A218" s="1">
        <v>4702</v>
      </c>
      <c r="B218" s="3">
        <f>VLOOKUP("h1-txc"&amp;"-"&amp;A218,[1]flota_lineas_tp!$A$1:$F$65536,6,FALSE)</f>
        <v>2.38</v>
      </c>
      <c r="D218" s="1">
        <v>4702</v>
      </c>
      <c r="E218" s="3">
        <f>VLOOKUP("h2-txc"&amp;"-"&amp;D218,[1]flota_lineas_tp!$A$1:$F$65536,6,FALSE)</f>
        <v>0.24</v>
      </c>
      <c r="G218" s="1">
        <v>4702</v>
      </c>
      <c r="H218" s="3">
        <f>VLOOKUP("txc"&amp;"-"&amp;G218,[2]flota_lineas_tp!$A$1:$D$2000,4,FALSE)</f>
        <v>0.22</v>
      </c>
      <c r="J218" s="1">
        <v>4702</v>
      </c>
      <c r="K218" s="1">
        <f>VLOOKUP("txc"&amp;"-"&amp;J218,[3]flota_lineas_tp!$A$1:$D$2000,4,FALSE)</f>
        <v>0.24</v>
      </c>
      <c r="M218" s="1">
        <v>4702</v>
      </c>
    </row>
    <row r="219" spans="1:13" x14ac:dyDescent="0.2">
      <c r="A219" s="1">
        <v>4801</v>
      </c>
      <c r="B219" s="3">
        <f>VLOOKUP("h1-txc"&amp;"-"&amp;A219,[1]flota_lineas_tp!$A$1:$F$65536,6,FALSE)</f>
        <v>6.57</v>
      </c>
      <c r="D219" s="1">
        <v>4801</v>
      </c>
      <c r="E219" s="3">
        <f>VLOOKUP("h2-txc"&amp;"-"&amp;D219,[1]flota_lineas_tp!$A$1:$F$65536,6,FALSE)</f>
        <v>9.67</v>
      </c>
      <c r="G219" s="1">
        <v>4801</v>
      </c>
      <c r="H219" s="3">
        <f>VLOOKUP("txc"&amp;"-"&amp;G219,[2]flota_lineas_tp!$A$1:$D$2000,4,FALSE)</f>
        <v>4.13</v>
      </c>
      <c r="J219" s="1">
        <v>4801</v>
      </c>
      <c r="K219" s="1">
        <f>VLOOKUP("txc"&amp;"-"&amp;J219,[3]flota_lineas_tp!$A$1:$D$2000,4,FALSE)</f>
        <v>3.1</v>
      </c>
      <c r="M219" s="1">
        <v>4801</v>
      </c>
    </row>
    <row r="220" spans="1:13" x14ac:dyDescent="0.2">
      <c r="A220" s="1">
        <v>4802</v>
      </c>
      <c r="B220" s="3">
        <f>VLOOKUP("h1-txc"&amp;"-"&amp;A220,[1]flota_lineas_tp!$A$1:$F$65536,6,FALSE)</f>
        <v>0.42</v>
      </c>
      <c r="D220" s="1">
        <v>4802</v>
      </c>
      <c r="E220" s="3">
        <f>VLOOKUP("h2-txc"&amp;"-"&amp;D220,[1]flota_lineas_tp!$A$1:$F$65536,6,FALSE)</f>
        <v>3.69</v>
      </c>
      <c r="G220" s="1">
        <v>4802</v>
      </c>
      <c r="H220" s="3">
        <f>VLOOKUP("txc"&amp;"-"&amp;G220,[2]flota_lineas_tp!$A$1:$D$2000,4,FALSE)</f>
        <v>0.46</v>
      </c>
      <c r="J220" s="1">
        <v>4802</v>
      </c>
      <c r="K220" s="1">
        <f>VLOOKUP("txc"&amp;"-"&amp;J220,[3]flota_lineas_tp!$A$1:$D$2000,4,FALSE)</f>
        <v>2.82</v>
      </c>
      <c r="M220" s="1">
        <v>4802</v>
      </c>
    </row>
    <row r="221" spans="1:13" x14ac:dyDescent="0.2">
      <c r="A221" s="1">
        <v>4811</v>
      </c>
      <c r="B221" s="3">
        <f>VLOOKUP("h1-txc"&amp;"-"&amp;A221,[1]flota_lineas_tp!$A$1:$F$65536,6,FALSE)</f>
        <v>0.26</v>
      </c>
      <c r="D221" s="1">
        <v>4811</v>
      </c>
      <c r="E221" s="3">
        <f>VLOOKUP("h2-txc"&amp;"-"&amp;D221,[1]flota_lineas_tp!$A$1:$F$65536,6,FALSE)</f>
        <v>32.11</v>
      </c>
      <c r="G221" s="1">
        <v>4811</v>
      </c>
      <c r="H221" s="3">
        <f>VLOOKUP("txc"&amp;"-"&amp;G221,[2]flota_lineas_tp!$A$1:$D$2000,4,FALSE)</f>
        <v>0.26</v>
      </c>
      <c r="J221" s="1">
        <v>4811</v>
      </c>
      <c r="K221" s="1">
        <f>VLOOKUP("txc"&amp;"-"&amp;J221,[3]flota_lineas_tp!$A$1:$D$2000,4,FALSE)</f>
        <v>0.25</v>
      </c>
      <c r="M221" s="1">
        <v>4811</v>
      </c>
    </row>
    <row r="222" spans="1:13" x14ac:dyDescent="0.2">
      <c r="A222" s="1">
        <v>4812</v>
      </c>
      <c r="B222" s="3">
        <f>VLOOKUP("h1-txc"&amp;"-"&amp;A222,[1]flota_lineas_tp!$A$1:$F$65536,6,FALSE)</f>
        <v>1.32</v>
      </c>
      <c r="D222" s="1">
        <v>4812</v>
      </c>
      <c r="E222" s="3">
        <f>VLOOKUP("h2-txc"&amp;"-"&amp;D222,[1]flota_lineas_tp!$A$1:$F$65536,6,FALSE)</f>
        <v>8.56</v>
      </c>
      <c r="G222" s="1">
        <v>4812</v>
      </c>
      <c r="H222" s="3">
        <f>VLOOKUP("txc"&amp;"-"&amp;G222,[2]flota_lineas_tp!$A$1:$D$2000,4,FALSE)</f>
        <v>15.75</v>
      </c>
      <c r="J222" s="1">
        <v>4812</v>
      </c>
      <c r="K222" s="1">
        <f>VLOOKUP("txc"&amp;"-"&amp;J222,[3]flota_lineas_tp!$A$1:$D$2000,4,FALSE)</f>
        <v>17.420000000000002</v>
      </c>
      <c r="M222" s="1">
        <v>4812</v>
      </c>
    </row>
    <row r="223" spans="1:13" x14ac:dyDescent="0.2">
      <c r="A223" s="1">
        <v>4921</v>
      </c>
      <c r="B223" s="3">
        <f>VLOOKUP("h1-txc"&amp;"-"&amp;A223,[1]flota_lineas_tp!$A$1:$F$65536,6,FALSE)</f>
        <v>25.58</v>
      </c>
      <c r="D223" s="1">
        <v>4921</v>
      </c>
      <c r="E223" s="3">
        <f>VLOOKUP("h2-txc"&amp;"-"&amp;D223,[1]flota_lineas_tp!$A$1:$F$65536,6,FALSE)</f>
        <v>77.45</v>
      </c>
      <c r="G223" s="1">
        <v>4921</v>
      </c>
      <c r="H223" s="3">
        <f>VLOOKUP("txc"&amp;"-"&amp;G223,[2]flota_lineas_tp!$A$1:$D$2000,4,FALSE)</f>
        <v>2.04</v>
      </c>
      <c r="J223" s="1">
        <v>4921</v>
      </c>
      <c r="K223" s="1">
        <f>VLOOKUP("txc"&amp;"-"&amp;J223,[3]flota_lineas_tp!$A$1:$D$2000,4,FALSE)</f>
        <v>6.93</v>
      </c>
      <c r="M223" s="1">
        <v>4921</v>
      </c>
    </row>
    <row r="224" spans="1:13" x14ac:dyDescent="0.2">
      <c r="A224" s="1">
        <v>4922</v>
      </c>
      <c r="B224" s="3">
        <f>VLOOKUP("h1-txc"&amp;"-"&amp;A224,[1]flota_lineas_tp!$A$1:$F$65536,6,FALSE)</f>
        <v>1.07</v>
      </c>
      <c r="D224" s="1">
        <v>4922</v>
      </c>
      <c r="E224" s="3">
        <f>VLOOKUP("h2-txc"&amp;"-"&amp;D224,[1]flota_lineas_tp!$A$1:$F$65536,6,FALSE)</f>
        <v>6.74</v>
      </c>
      <c r="G224" s="1">
        <v>4922</v>
      </c>
      <c r="H224" s="3">
        <f>VLOOKUP("txc"&amp;"-"&amp;G224,[2]flota_lineas_tp!$A$1:$D$2000,4,FALSE)</f>
        <v>6.86</v>
      </c>
      <c r="J224" s="1">
        <v>4922</v>
      </c>
      <c r="K224" s="1">
        <f>VLOOKUP("txc"&amp;"-"&amp;J224,[3]flota_lineas_tp!$A$1:$D$2000,4,FALSE)</f>
        <v>44.63</v>
      </c>
      <c r="M224" s="1">
        <v>4922</v>
      </c>
    </row>
    <row r="225" spans="1:13" x14ac:dyDescent="0.2">
      <c r="A225" s="1">
        <v>4911</v>
      </c>
      <c r="B225" s="3">
        <f>VLOOKUP("h1-txc"&amp;"-"&amp;A225,[1]flota_lineas_tp!$A$1:$F$65536,6,FALSE)</f>
        <v>2.33</v>
      </c>
      <c r="D225" s="1">
        <v>4911</v>
      </c>
      <c r="E225" s="3">
        <f>VLOOKUP("h2-txc"&amp;"-"&amp;D225,[1]flota_lineas_tp!$A$1:$F$65536,6,FALSE)</f>
        <v>3.86</v>
      </c>
      <c r="G225" s="1">
        <v>4911</v>
      </c>
      <c r="H225" s="3">
        <f>VLOOKUP("txc"&amp;"-"&amp;G225,[2]flota_lineas_tp!$A$1:$D$2000,4,FALSE)</f>
        <v>5.55</v>
      </c>
      <c r="J225" s="1">
        <v>4911</v>
      </c>
      <c r="K225" s="1">
        <f>VLOOKUP("txc"&amp;"-"&amp;J225,[3]flota_lineas_tp!$A$1:$D$2000,4,FALSE)</f>
        <v>11.24</v>
      </c>
      <c r="M225" s="1">
        <v>4911</v>
      </c>
    </row>
    <row r="226" spans="1:13" x14ac:dyDescent="0.2">
      <c r="A226" s="1">
        <v>4912</v>
      </c>
      <c r="B226" s="3">
        <f>VLOOKUP("h1-txc"&amp;"-"&amp;A226,[1]flota_lineas_tp!$A$1:$F$65536,6,FALSE)</f>
        <v>1.08</v>
      </c>
      <c r="D226" s="1">
        <v>4912</v>
      </c>
      <c r="E226" s="3">
        <f>VLOOKUP("h2-txc"&amp;"-"&amp;D226,[1]flota_lineas_tp!$A$1:$F$65536,6,FALSE)</f>
        <v>1.33</v>
      </c>
      <c r="G226" s="1">
        <v>4912</v>
      </c>
      <c r="H226" s="3">
        <f>VLOOKUP("txc"&amp;"-"&amp;G226,[2]flota_lineas_tp!$A$1:$D$2000,4,FALSE)</f>
        <v>1.58</v>
      </c>
      <c r="J226" s="1">
        <v>4912</v>
      </c>
      <c r="K226" s="1">
        <f>VLOOKUP("txc"&amp;"-"&amp;J226,[3]flota_lineas_tp!$A$1:$D$2000,4,FALSE)</f>
        <v>0.39</v>
      </c>
      <c r="M226" s="1">
        <v>4912</v>
      </c>
    </row>
    <row r="227" spans="1:13" x14ac:dyDescent="0.2">
      <c r="A227" s="1">
        <v>4901</v>
      </c>
      <c r="B227" s="3">
        <f>VLOOKUP("h1-txc"&amp;"-"&amp;A227,[1]flota_lineas_tp!$A$1:$F$65536,6,FALSE)</f>
        <v>13.03</v>
      </c>
      <c r="D227" s="1">
        <v>4901</v>
      </c>
      <c r="E227" s="3">
        <f>VLOOKUP("h2-txc"&amp;"-"&amp;D227,[1]flota_lineas_tp!$A$1:$F$65536,6,FALSE)</f>
        <v>4.8899999999999997</v>
      </c>
      <c r="G227" s="1">
        <v>4901</v>
      </c>
      <c r="H227" s="3">
        <f>VLOOKUP("txc"&amp;"-"&amp;G227,[2]flota_lineas_tp!$A$1:$D$2000,4,FALSE)</f>
        <v>0.83</v>
      </c>
      <c r="J227" s="1">
        <v>4901</v>
      </c>
      <c r="K227" s="1">
        <f>VLOOKUP("txc"&amp;"-"&amp;J227,[3]flota_lineas_tp!$A$1:$D$2000,4,FALSE)</f>
        <v>5.39</v>
      </c>
      <c r="M227" s="1">
        <v>4901</v>
      </c>
    </row>
    <row r="228" spans="1:13" x14ac:dyDescent="0.2">
      <c r="A228" s="1">
        <v>4902</v>
      </c>
      <c r="B228" s="3">
        <f>VLOOKUP("h1-txc"&amp;"-"&amp;A228,[1]flota_lineas_tp!$A$1:$F$65536,6,FALSE)</f>
        <v>0.8</v>
      </c>
      <c r="D228" s="1">
        <v>4902</v>
      </c>
      <c r="E228" s="3">
        <f>VLOOKUP("h2-txc"&amp;"-"&amp;D228,[1]flota_lineas_tp!$A$1:$F$65536,6,FALSE)</f>
        <v>4.6100000000000003</v>
      </c>
      <c r="G228" s="1">
        <v>4902</v>
      </c>
      <c r="H228" s="3">
        <f>VLOOKUP("txc"&amp;"-"&amp;G228,[2]flota_lineas_tp!$A$1:$D$2000,4,FALSE)</f>
        <v>12.97</v>
      </c>
      <c r="J228" s="1">
        <v>4902</v>
      </c>
      <c r="K228" s="1">
        <f>VLOOKUP("txc"&amp;"-"&amp;J228,[3]flota_lineas_tp!$A$1:$D$2000,4,FALSE)</f>
        <v>1.1200000000000001</v>
      </c>
      <c r="M228" s="1">
        <v>4902</v>
      </c>
    </row>
    <row r="229" spans="1:13" x14ac:dyDescent="0.2">
      <c r="A229" s="1">
        <v>501</v>
      </c>
      <c r="B229" s="3">
        <f>VLOOKUP("h1-txc"&amp;"-"&amp;A229,[1]flota_lineas_tp!$A$1:$F$65536,6,FALSE)</f>
        <v>3.67</v>
      </c>
      <c r="D229" s="1">
        <v>501</v>
      </c>
      <c r="E229" s="3">
        <f>VLOOKUP("h2-txc"&amp;"-"&amp;D229,[1]flota_lineas_tp!$A$1:$F$65536,6,FALSE)</f>
        <v>2.56</v>
      </c>
      <c r="G229" s="1">
        <v>501</v>
      </c>
      <c r="H229" s="3">
        <f>VLOOKUP("txc"&amp;"-"&amp;G229,[2]flota_lineas_tp!$A$1:$D$2000,4,FALSE)</f>
        <v>1.73</v>
      </c>
      <c r="J229" s="1">
        <v>501</v>
      </c>
      <c r="K229" s="1">
        <f>VLOOKUP("txc"&amp;"-"&amp;J229,[3]flota_lineas_tp!$A$1:$D$2000,4,FALSE)</f>
        <v>2.92</v>
      </c>
      <c r="M229" s="1">
        <v>501</v>
      </c>
    </row>
    <row r="230" spans="1:13" x14ac:dyDescent="0.2">
      <c r="A230" s="1">
        <v>502</v>
      </c>
      <c r="B230" s="3">
        <f>VLOOKUP("h1-txc"&amp;"-"&amp;A230,[1]flota_lineas_tp!$A$1:$F$65536,6,FALSE)</f>
        <v>2.56</v>
      </c>
      <c r="D230" s="1">
        <v>502</v>
      </c>
      <c r="E230" s="3">
        <f>VLOOKUP("h2-txc"&amp;"-"&amp;D230,[1]flota_lineas_tp!$A$1:$F$65536,6,FALSE)</f>
        <v>3.77</v>
      </c>
      <c r="G230" s="1">
        <v>502</v>
      </c>
      <c r="H230" s="3">
        <f>VLOOKUP("txc"&amp;"-"&amp;G230,[2]flota_lineas_tp!$A$1:$D$2000,4,FALSE)</f>
        <v>5.86</v>
      </c>
      <c r="J230" s="1">
        <v>502</v>
      </c>
      <c r="K230" s="1">
        <f>VLOOKUP("txc"&amp;"-"&amp;J230,[3]flota_lineas_tp!$A$1:$D$2000,4,FALSE)</f>
        <v>6.08</v>
      </c>
      <c r="M230" s="1">
        <v>502</v>
      </c>
    </row>
    <row r="231" spans="1:13" x14ac:dyDescent="0.2">
      <c r="A231" s="1">
        <v>5301</v>
      </c>
      <c r="B231" s="3">
        <f>VLOOKUP("h1-txc"&amp;"-"&amp;A231,[1]flota_lineas_tp!$A$1:$F$65536,6,FALSE)</f>
        <v>1.1200000000000001</v>
      </c>
      <c r="D231" s="1">
        <v>5301</v>
      </c>
      <c r="E231" s="3">
        <f>VLOOKUP("h2-txc"&amp;"-"&amp;D231,[1]flota_lineas_tp!$A$1:$F$65536,6,FALSE)</f>
        <v>2.88</v>
      </c>
      <c r="G231" s="1">
        <v>5301</v>
      </c>
      <c r="H231" s="3">
        <f>VLOOKUP("txc"&amp;"-"&amp;G231,[2]flota_lineas_tp!$A$1:$D$2000,4,FALSE)</f>
        <v>1.75</v>
      </c>
      <c r="J231" s="1">
        <v>5301</v>
      </c>
      <c r="K231" s="1">
        <f>VLOOKUP("txc"&amp;"-"&amp;J231,[3]flota_lineas_tp!$A$1:$D$2000,4,FALSE)</f>
        <v>1.0900000000000001</v>
      </c>
      <c r="M231" s="1">
        <v>5301</v>
      </c>
    </row>
    <row r="232" spans="1:13" x14ac:dyDescent="0.2">
      <c r="A232" s="1">
        <v>5302</v>
      </c>
      <c r="B232" s="3">
        <f>VLOOKUP("h1-txc"&amp;"-"&amp;A232,[1]flota_lineas_tp!$A$1:$F$65536,6,FALSE)</f>
        <v>0.17</v>
      </c>
      <c r="D232" s="1">
        <v>5302</v>
      </c>
      <c r="E232" s="3">
        <f>VLOOKUP("h2-txc"&amp;"-"&amp;D232,[1]flota_lineas_tp!$A$1:$F$65536,6,FALSE)</f>
        <v>0.17</v>
      </c>
      <c r="G232" s="1">
        <v>5302</v>
      </c>
      <c r="H232" s="3">
        <f>VLOOKUP("txc"&amp;"-"&amp;G232,[2]flota_lineas_tp!$A$1:$D$2000,4,FALSE)</f>
        <v>0.17</v>
      </c>
      <c r="J232" s="1">
        <v>5302</v>
      </c>
      <c r="K232" s="1">
        <f>VLOOKUP("txc"&amp;"-"&amp;J232,[3]flota_lineas_tp!$A$1:$D$2000,4,FALSE)</f>
        <v>8.26</v>
      </c>
      <c r="M232" s="1">
        <v>5302</v>
      </c>
    </row>
    <row r="233" spans="1:13" x14ac:dyDescent="0.2">
      <c r="A233" s="1">
        <v>5421</v>
      </c>
      <c r="B233" s="3">
        <f>VLOOKUP("h1-txc"&amp;"-"&amp;A233,[1]flota_lineas_tp!$A$1:$F$65536,6,FALSE)</f>
        <v>0.33</v>
      </c>
      <c r="D233" s="1">
        <v>5421</v>
      </c>
      <c r="E233" s="3">
        <f>VLOOKUP("h2-txc"&amp;"-"&amp;D233,[1]flota_lineas_tp!$A$1:$F$65536,6,FALSE)</f>
        <v>0.91</v>
      </c>
      <c r="G233" s="1">
        <v>5421</v>
      </c>
      <c r="H233" s="3">
        <f>VLOOKUP("txc"&amp;"-"&amp;G233,[2]flota_lineas_tp!$A$1:$D$2000,4,FALSE)</f>
        <v>0.99</v>
      </c>
      <c r="J233" s="1">
        <v>5421</v>
      </c>
      <c r="K233" s="1">
        <f>VLOOKUP("txc"&amp;"-"&amp;J233,[3]flota_lineas_tp!$A$1:$D$2000,4,FALSE)</f>
        <v>3.06</v>
      </c>
      <c r="M233" s="1">
        <v>5421</v>
      </c>
    </row>
    <row r="234" spans="1:13" x14ac:dyDescent="0.2">
      <c r="A234" s="1">
        <v>5422</v>
      </c>
      <c r="B234" s="3">
        <f>VLOOKUP("h1-txc"&amp;"-"&amp;A234,[1]flota_lineas_tp!$A$1:$F$65536,6,FALSE)</f>
        <v>0.53</v>
      </c>
      <c r="D234" s="1">
        <v>5422</v>
      </c>
      <c r="E234" s="3">
        <f>VLOOKUP("h2-txc"&amp;"-"&amp;D234,[1]flota_lineas_tp!$A$1:$F$65536,6,FALSE)</f>
        <v>0.13</v>
      </c>
      <c r="G234" s="1">
        <v>5422</v>
      </c>
      <c r="H234" s="3">
        <f>VLOOKUP("txc"&amp;"-"&amp;G234,[2]flota_lineas_tp!$A$1:$D$2000,4,FALSE)</f>
        <v>2.38</v>
      </c>
      <c r="J234" s="1">
        <v>5422</v>
      </c>
      <c r="K234" s="1">
        <f>VLOOKUP("txc"&amp;"-"&amp;J234,[3]flota_lineas_tp!$A$1:$D$2000,4,FALSE)</f>
        <v>2.4300000000000002</v>
      </c>
      <c r="M234" s="1">
        <v>5422</v>
      </c>
    </row>
    <row r="235" spans="1:13" x14ac:dyDescent="0.2">
      <c r="A235" s="1">
        <v>5411</v>
      </c>
      <c r="B235" s="3">
        <f>VLOOKUP("h1-txc"&amp;"-"&amp;A235,[1]flota_lineas_tp!$A$1:$F$65536,6,FALSE)</f>
        <v>0.21</v>
      </c>
      <c r="D235" s="1">
        <v>5411</v>
      </c>
      <c r="E235" s="3">
        <f>VLOOKUP("h2-txc"&amp;"-"&amp;D235,[1]flota_lineas_tp!$A$1:$F$65536,6,FALSE)</f>
        <v>11.51</v>
      </c>
      <c r="G235" s="1">
        <v>5411</v>
      </c>
      <c r="H235" s="3">
        <f>VLOOKUP("txc"&amp;"-"&amp;G235,[2]flota_lineas_tp!$A$1:$D$2000,4,FALSE)</f>
        <v>1.77</v>
      </c>
      <c r="J235" s="1">
        <v>5411</v>
      </c>
      <c r="K235" s="1">
        <f>VLOOKUP("txc"&amp;"-"&amp;J235,[3]flota_lineas_tp!$A$1:$D$2000,4,FALSE)</f>
        <v>4.43</v>
      </c>
      <c r="M235" s="1">
        <v>5411</v>
      </c>
    </row>
    <row r="236" spans="1:13" x14ac:dyDescent="0.2">
      <c r="A236" s="1">
        <v>5412</v>
      </c>
      <c r="B236" s="3">
        <f>VLOOKUP("h1-txc"&amp;"-"&amp;A236,[1]flota_lineas_tp!$A$1:$F$65536,6,FALSE)</f>
        <v>1.63</v>
      </c>
      <c r="D236" s="1">
        <v>5412</v>
      </c>
      <c r="E236" s="3">
        <f>VLOOKUP("h2-txc"&amp;"-"&amp;D236,[1]flota_lineas_tp!$A$1:$F$65536,6,FALSE)</f>
        <v>0.22</v>
      </c>
      <c r="G236" s="1">
        <v>5412</v>
      </c>
      <c r="H236" s="3">
        <f>VLOOKUP("txc"&amp;"-"&amp;G236,[2]flota_lineas_tp!$A$1:$D$2000,4,FALSE)</f>
        <v>2.73</v>
      </c>
      <c r="J236" s="1">
        <v>5412</v>
      </c>
      <c r="K236" s="1">
        <f>VLOOKUP("txc"&amp;"-"&amp;J236,[3]flota_lineas_tp!$A$1:$D$2000,4,FALSE)</f>
        <v>8.74</v>
      </c>
      <c r="M236" s="1">
        <v>5412</v>
      </c>
    </row>
    <row r="237" spans="1:13" x14ac:dyDescent="0.2">
      <c r="A237" s="1">
        <v>5401</v>
      </c>
      <c r="B237" s="3">
        <f>VLOOKUP("h1-txc"&amp;"-"&amp;A237,[1]flota_lineas_tp!$A$1:$F$65536,6,FALSE)</f>
        <v>0.86</v>
      </c>
      <c r="D237" s="1">
        <v>5401</v>
      </c>
      <c r="E237" s="3">
        <f>VLOOKUP("h2-txc"&amp;"-"&amp;D237,[1]flota_lineas_tp!$A$1:$F$65536,6,FALSE)</f>
        <v>1.23</v>
      </c>
      <c r="G237" s="1">
        <v>5401</v>
      </c>
      <c r="H237" s="3">
        <f>VLOOKUP("txc"&amp;"-"&amp;G237,[2]flota_lineas_tp!$A$1:$D$2000,4,FALSE)</f>
        <v>0.84</v>
      </c>
      <c r="J237" s="1">
        <v>5401</v>
      </c>
      <c r="K237" s="1">
        <f>VLOOKUP("txc"&amp;"-"&amp;J237,[3]flota_lineas_tp!$A$1:$D$2000,4,FALSE)</f>
        <v>0.91</v>
      </c>
      <c r="M237" s="1">
        <v>5401</v>
      </c>
    </row>
    <row r="238" spans="1:13" x14ac:dyDescent="0.2">
      <c r="A238" s="1">
        <v>5402</v>
      </c>
      <c r="B238" s="3">
        <f>VLOOKUP("h1-txc"&amp;"-"&amp;A238,[1]flota_lineas_tp!$A$1:$F$65536,6,FALSE)</f>
        <v>0.77</v>
      </c>
      <c r="D238" s="1">
        <v>5402</v>
      </c>
      <c r="E238" s="3">
        <f>VLOOKUP("h2-txc"&amp;"-"&amp;D238,[1]flota_lineas_tp!$A$1:$F$65536,6,FALSE)</f>
        <v>9.7100000000000009</v>
      </c>
      <c r="G238" s="1">
        <v>5402</v>
      </c>
      <c r="H238" s="3">
        <f>VLOOKUP("txc"&amp;"-"&amp;G238,[2]flota_lineas_tp!$A$1:$D$2000,4,FALSE)</f>
        <v>0.83</v>
      </c>
      <c r="J238" s="1">
        <v>5402</v>
      </c>
      <c r="K238" s="1">
        <f>VLOOKUP("txc"&amp;"-"&amp;J238,[3]flota_lineas_tp!$A$1:$D$2000,4,FALSE)</f>
        <v>1.0900000000000001</v>
      </c>
      <c r="M238" s="1">
        <v>5402</v>
      </c>
    </row>
    <row r="239" spans="1:13" x14ac:dyDescent="0.2">
      <c r="A239" s="1">
        <v>5501</v>
      </c>
      <c r="B239" s="3">
        <f>VLOOKUP("h1-txc"&amp;"-"&amp;A239,[1]flota_lineas_tp!$A$1:$F$65536,6,FALSE)</f>
        <v>1.29</v>
      </c>
      <c r="D239" s="1">
        <v>5501</v>
      </c>
      <c r="E239" s="3">
        <f>VLOOKUP("h2-txc"&amp;"-"&amp;D239,[1]flota_lineas_tp!$A$1:$F$65536,6,FALSE)</f>
        <v>2.31</v>
      </c>
      <c r="G239" s="1">
        <v>5501</v>
      </c>
      <c r="H239" s="3">
        <f>VLOOKUP("txc"&amp;"-"&amp;G239,[2]flota_lineas_tp!$A$1:$D$2000,4,FALSE)</f>
        <v>0.57999999999999996</v>
      </c>
      <c r="J239" s="1">
        <v>5501</v>
      </c>
      <c r="K239" s="1">
        <f>VLOOKUP("txc"&amp;"-"&amp;J239,[3]flota_lineas_tp!$A$1:$D$2000,4,FALSE)</f>
        <v>8.0299999999999994</v>
      </c>
      <c r="M239" s="1">
        <v>5501</v>
      </c>
    </row>
    <row r="240" spans="1:13" x14ac:dyDescent="0.2">
      <c r="A240" s="1">
        <v>5502</v>
      </c>
      <c r="B240" s="3">
        <f>VLOOKUP("h1-txc"&amp;"-"&amp;A240,[1]flota_lineas_tp!$A$1:$F$65536,6,FALSE)</f>
        <v>0.43</v>
      </c>
      <c r="D240" s="1">
        <v>5502</v>
      </c>
      <c r="E240" s="3">
        <f>VLOOKUP("h2-txc"&amp;"-"&amp;D240,[1]flota_lineas_tp!$A$1:$F$65536,6,FALSE)</f>
        <v>3.23</v>
      </c>
      <c r="G240" s="1">
        <v>5502</v>
      </c>
      <c r="H240" s="3">
        <f>VLOOKUP("txc"&amp;"-"&amp;G240,[2]flota_lineas_tp!$A$1:$D$2000,4,FALSE)</f>
        <v>0.85</v>
      </c>
      <c r="J240" s="1">
        <v>5502</v>
      </c>
      <c r="K240" s="1">
        <f>VLOOKUP("txc"&amp;"-"&amp;J240,[3]flota_lineas_tp!$A$1:$D$2000,4,FALSE)</f>
        <v>0.41</v>
      </c>
      <c r="M240" s="1">
        <v>5502</v>
      </c>
    </row>
    <row r="241" spans="1:13" x14ac:dyDescent="0.2">
      <c r="A241" s="1">
        <v>5511</v>
      </c>
      <c r="B241" s="3">
        <f>VLOOKUP("h1-txc"&amp;"-"&amp;A241,[1]flota_lineas_tp!$A$1:$F$65536,6,FALSE)</f>
        <v>2.12</v>
      </c>
      <c r="D241" s="1">
        <v>5511</v>
      </c>
      <c r="E241" s="3">
        <f>VLOOKUP("h2-txc"&amp;"-"&amp;D241,[1]flota_lineas_tp!$A$1:$F$65536,6,FALSE)</f>
        <v>1.47</v>
      </c>
      <c r="G241" s="1">
        <v>5511</v>
      </c>
      <c r="H241" s="3">
        <f>VLOOKUP("txc"&amp;"-"&amp;G241,[2]flota_lineas_tp!$A$1:$D$2000,4,FALSE)</f>
        <v>2.0499999999999998</v>
      </c>
      <c r="J241" s="1">
        <v>5511</v>
      </c>
      <c r="K241" s="1">
        <f>VLOOKUP("txc"&amp;"-"&amp;J241,[3]flota_lineas_tp!$A$1:$D$2000,4,FALSE)</f>
        <v>5.43</v>
      </c>
      <c r="M241" s="1">
        <v>5511</v>
      </c>
    </row>
    <row r="242" spans="1:13" x14ac:dyDescent="0.2">
      <c r="A242" s="1">
        <v>5512</v>
      </c>
      <c r="B242" s="3">
        <f>VLOOKUP("h1-txc"&amp;"-"&amp;A242,[1]flota_lineas_tp!$A$1:$F$65536,6,FALSE)</f>
        <v>0.31</v>
      </c>
      <c r="D242" s="1">
        <v>5512</v>
      </c>
      <c r="E242" s="3">
        <f>VLOOKUP("h2-txc"&amp;"-"&amp;D242,[1]flota_lineas_tp!$A$1:$F$65536,6,FALSE)</f>
        <v>5.33</v>
      </c>
      <c r="G242" s="1">
        <v>5512</v>
      </c>
      <c r="H242" s="3">
        <f>VLOOKUP("txc"&amp;"-"&amp;G242,[2]flota_lineas_tp!$A$1:$D$2000,4,FALSE)</f>
        <v>1.42</v>
      </c>
      <c r="J242" s="1">
        <v>5512</v>
      </c>
      <c r="K242" s="1">
        <f>VLOOKUP("txc"&amp;"-"&amp;J242,[3]flota_lineas_tp!$A$1:$D$2000,4,FALSE)</f>
        <v>1.48</v>
      </c>
      <c r="M242" s="1">
        <v>5512</v>
      </c>
    </row>
    <row r="243" spans="1:13" x14ac:dyDescent="0.2">
      <c r="A243" s="1">
        <v>5601</v>
      </c>
      <c r="B243" s="3">
        <f>VLOOKUP("h1-txc"&amp;"-"&amp;A243,[1]flota_lineas_tp!$A$1:$F$65536,6,FALSE)</f>
        <v>9.4600000000000009</v>
      </c>
      <c r="D243" s="1">
        <v>5601</v>
      </c>
      <c r="E243" s="3">
        <f>VLOOKUP("h2-txc"&amp;"-"&amp;D243,[1]flota_lineas_tp!$A$1:$F$65536,6,FALSE)</f>
        <v>15.38</v>
      </c>
      <c r="G243" s="1">
        <v>5601</v>
      </c>
      <c r="H243" s="3">
        <f>VLOOKUP("txc"&amp;"-"&amp;G243,[2]flota_lineas_tp!$A$1:$D$2000,4,FALSE)</f>
        <v>7.02</v>
      </c>
      <c r="J243" s="1">
        <v>5601</v>
      </c>
      <c r="K243" s="1">
        <f>VLOOKUP("txc"&amp;"-"&amp;J243,[3]flota_lineas_tp!$A$1:$D$2000,4,FALSE)</f>
        <v>3.58</v>
      </c>
      <c r="M243" s="1">
        <v>5601</v>
      </c>
    </row>
    <row r="244" spans="1:13" x14ac:dyDescent="0.2">
      <c r="A244" s="1">
        <v>5602</v>
      </c>
      <c r="B244" s="3">
        <f>VLOOKUP("h1-txc"&amp;"-"&amp;A244,[1]flota_lineas_tp!$A$1:$F$65536,6,FALSE)</f>
        <v>7.96</v>
      </c>
      <c r="D244" s="1">
        <v>5602</v>
      </c>
      <c r="E244" s="3">
        <f>VLOOKUP("h2-txc"&amp;"-"&amp;D244,[1]flota_lineas_tp!$A$1:$F$65536,6,FALSE)</f>
        <v>13.64</v>
      </c>
      <c r="G244" s="1">
        <v>5602</v>
      </c>
      <c r="H244" s="3">
        <f>VLOOKUP("txc"&amp;"-"&amp;G244,[2]flota_lineas_tp!$A$1:$D$2000,4,FALSE)</f>
        <v>14.19</v>
      </c>
      <c r="J244" s="1">
        <v>5602</v>
      </c>
      <c r="K244" s="1">
        <f>VLOOKUP("txc"&amp;"-"&amp;J244,[3]flota_lineas_tp!$A$1:$D$2000,4,FALSE)</f>
        <v>21.56</v>
      </c>
      <c r="M244" s="1">
        <v>5602</v>
      </c>
    </row>
    <row r="245" spans="1:13" x14ac:dyDescent="0.2">
      <c r="A245" s="1">
        <v>5801</v>
      </c>
      <c r="B245" s="3">
        <f>VLOOKUP("h1-txc"&amp;"-"&amp;A245,[1]flota_lineas_tp!$A$1:$F$65536,6,FALSE)</f>
        <v>0.4</v>
      </c>
      <c r="D245" s="1">
        <v>5801</v>
      </c>
      <c r="E245" s="3">
        <f>VLOOKUP("h2-txc"&amp;"-"&amp;D245,[1]flota_lineas_tp!$A$1:$F$65536,6,FALSE)</f>
        <v>0.48</v>
      </c>
      <c r="G245" s="1">
        <v>5801</v>
      </c>
      <c r="H245" s="3">
        <f>VLOOKUP("txc"&amp;"-"&amp;G245,[2]flota_lineas_tp!$A$1:$D$2000,4,FALSE)</f>
        <v>0.42</v>
      </c>
      <c r="J245" s="1">
        <v>5801</v>
      </c>
      <c r="K245" s="1">
        <f>VLOOKUP("txc"&amp;"-"&amp;J245,[3]flota_lineas_tp!$A$1:$D$2000,4,FALSE)</f>
        <v>0.86</v>
      </c>
      <c r="M245" s="1">
        <v>5801</v>
      </c>
    </row>
    <row r="246" spans="1:13" x14ac:dyDescent="0.2">
      <c r="A246" s="1">
        <v>5802</v>
      </c>
      <c r="B246" s="3">
        <f>VLOOKUP("h1-txc"&amp;"-"&amp;A246,[1]flota_lineas_tp!$A$1:$F$65536,6,FALSE)</f>
        <v>1.97</v>
      </c>
      <c r="D246" s="1">
        <v>5802</v>
      </c>
      <c r="E246" s="3">
        <f>VLOOKUP("h2-txc"&amp;"-"&amp;D246,[1]flota_lineas_tp!$A$1:$F$65536,6,FALSE)</f>
        <v>0.57999999999999996</v>
      </c>
      <c r="G246" s="1">
        <v>5802</v>
      </c>
      <c r="H246" s="3">
        <f>VLOOKUP("txc"&amp;"-"&amp;G246,[2]flota_lineas_tp!$A$1:$D$2000,4,FALSE)</f>
        <v>0.42</v>
      </c>
      <c r="J246" s="1">
        <v>5802</v>
      </c>
      <c r="K246" s="1">
        <f>VLOOKUP("txc"&amp;"-"&amp;J246,[3]flota_lineas_tp!$A$1:$D$2000,4,FALSE)</f>
        <v>0.41</v>
      </c>
      <c r="M246" s="1">
        <v>5802</v>
      </c>
    </row>
    <row r="247" spans="1:13" x14ac:dyDescent="0.2">
      <c r="A247" s="1">
        <v>601</v>
      </c>
      <c r="B247" s="3">
        <f>VLOOKUP("h1-txc"&amp;"-"&amp;A247,[1]flota_lineas_tp!$A$1:$F$65536,6,FALSE)</f>
        <v>1.0900000000000001</v>
      </c>
      <c r="D247" s="1">
        <v>601</v>
      </c>
      <c r="E247" s="3">
        <f>VLOOKUP("h2-txc"&amp;"-"&amp;D247,[1]flota_lineas_tp!$A$1:$F$65536,6,FALSE)</f>
        <v>2.0099999999999998</v>
      </c>
      <c r="G247" s="1">
        <v>601</v>
      </c>
      <c r="H247" s="3">
        <f>VLOOKUP("txc"&amp;"-"&amp;G247,[2]flota_lineas_tp!$A$1:$D$2000,4,FALSE)</f>
        <v>4.42</v>
      </c>
      <c r="J247" s="1">
        <v>601</v>
      </c>
      <c r="K247" s="1">
        <f>VLOOKUP("txc"&amp;"-"&amp;J247,[3]flota_lineas_tp!$A$1:$D$2000,4,FALSE)</f>
        <v>0.91</v>
      </c>
      <c r="M247" s="1">
        <v>601</v>
      </c>
    </row>
    <row r="248" spans="1:13" x14ac:dyDescent="0.2">
      <c r="A248" s="1">
        <v>602</v>
      </c>
      <c r="B248" s="3">
        <f>VLOOKUP("h1-txc"&amp;"-"&amp;A248,[1]flota_lineas_tp!$A$1:$F$65536,6,FALSE)</f>
        <v>0.36</v>
      </c>
      <c r="D248" s="1">
        <v>602</v>
      </c>
      <c r="E248" s="3">
        <f>VLOOKUP("h2-txc"&amp;"-"&amp;D248,[1]flota_lineas_tp!$A$1:$F$65536,6,FALSE)</f>
        <v>0.43</v>
      </c>
      <c r="G248" s="1">
        <v>602</v>
      </c>
      <c r="H248" s="3">
        <f>VLOOKUP("txc"&amp;"-"&amp;G248,[2]flota_lineas_tp!$A$1:$D$2000,4,FALSE)</f>
        <v>0.38</v>
      </c>
      <c r="J248" s="1">
        <v>602</v>
      </c>
      <c r="K248" s="1">
        <f>VLOOKUP("txc"&amp;"-"&amp;J248,[3]flota_lineas_tp!$A$1:$D$2000,4,FALSE)</f>
        <v>0.48</v>
      </c>
      <c r="M248" s="1">
        <v>602</v>
      </c>
    </row>
    <row r="249" spans="1:13" x14ac:dyDescent="0.2">
      <c r="A249" s="1">
        <v>6101</v>
      </c>
      <c r="B249" s="3">
        <f>VLOOKUP("h1-txc"&amp;"-"&amp;A249,[1]flota_lineas_tp!$A$1:$F$65536,6,FALSE)</f>
        <v>1.1000000000000001</v>
      </c>
      <c r="D249" s="1">
        <v>6101</v>
      </c>
      <c r="E249" s="3">
        <f>VLOOKUP("h2-txc"&amp;"-"&amp;D249,[1]flota_lineas_tp!$A$1:$F$65536,6,FALSE)</f>
        <v>38.67</v>
      </c>
      <c r="G249" s="1">
        <v>6101</v>
      </c>
      <c r="H249" s="3">
        <f>VLOOKUP("txc"&amp;"-"&amp;G249,[2]flota_lineas_tp!$A$1:$D$2000,4,FALSE)</f>
        <v>2.2999999999999998</v>
      </c>
      <c r="J249" s="1">
        <v>6101</v>
      </c>
      <c r="K249" s="1">
        <f>VLOOKUP("txc"&amp;"-"&amp;J249,[3]flota_lineas_tp!$A$1:$D$2000,4,FALSE)</f>
        <v>4.43</v>
      </c>
      <c r="M249" s="1">
        <v>6101</v>
      </c>
    </row>
    <row r="250" spans="1:13" x14ac:dyDescent="0.2">
      <c r="A250" s="1">
        <v>6102</v>
      </c>
      <c r="B250" s="3">
        <f>VLOOKUP("h1-txc"&amp;"-"&amp;A250,[1]flota_lineas_tp!$A$1:$F$65536,6,FALSE)</f>
        <v>0.28999999999999998</v>
      </c>
      <c r="D250" s="1">
        <v>6102</v>
      </c>
      <c r="E250" s="3">
        <f>VLOOKUP("h2-txc"&amp;"-"&amp;D250,[1]flota_lineas_tp!$A$1:$F$65536,6,FALSE)</f>
        <v>0.34</v>
      </c>
      <c r="G250" s="1">
        <v>6102</v>
      </c>
      <c r="H250" s="3">
        <f>VLOOKUP("txc"&amp;"-"&amp;G250,[2]flota_lineas_tp!$A$1:$D$2000,4,FALSE)</f>
        <v>0.3</v>
      </c>
      <c r="J250" s="1">
        <v>6102</v>
      </c>
      <c r="K250" s="1">
        <f>VLOOKUP("txc"&amp;"-"&amp;J250,[3]flota_lineas_tp!$A$1:$D$2000,4,FALSE)</f>
        <v>13.07</v>
      </c>
      <c r="M250" s="1">
        <v>6102</v>
      </c>
    </row>
    <row r="251" spans="1:13" x14ac:dyDescent="0.2">
      <c r="A251" s="1">
        <v>6201</v>
      </c>
      <c r="B251" s="3">
        <f>VLOOKUP("h1-txc"&amp;"-"&amp;A251,[1]flota_lineas_tp!$A$1:$F$65536,6,FALSE)</f>
        <v>0.5</v>
      </c>
      <c r="D251" s="1">
        <v>6201</v>
      </c>
      <c r="E251" s="3">
        <f>VLOOKUP("h2-txc"&amp;"-"&amp;D251,[1]flota_lineas_tp!$A$1:$F$65536,6,FALSE)</f>
        <v>0.55000000000000004</v>
      </c>
      <c r="G251" s="1">
        <v>6201</v>
      </c>
      <c r="H251" s="3">
        <f>VLOOKUP("txc"&amp;"-"&amp;G251,[2]flota_lineas_tp!$A$1:$D$2000,4,FALSE)</f>
        <v>4.43</v>
      </c>
      <c r="J251" s="1">
        <v>6201</v>
      </c>
      <c r="K251" s="1">
        <f>VLOOKUP("txc"&amp;"-"&amp;J251,[3]flota_lineas_tp!$A$1:$D$2000,4,FALSE)</f>
        <v>5.84</v>
      </c>
      <c r="M251" s="1">
        <v>6201</v>
      </c>
    </row>
    <row r="252" spans="1:13" x14ac:dyDescent="0.2">
      <c r="A252" s="1">
        <v>6202</v>
      </c>
      <c r="B252" s="3">
        <f>VLOOKUP("h1-txc"&amp;"-"&amp;A252,[1]flota_lineas_tp!$A$1:$F$65536,6,FALSE)</f>
        <v>4.41</v>
      </c>
      <c r="D252" s="1">
        <v>6202</v>
      </c>
      <c r="E252" s="3">
        <f>VLOOKUP("h2-txc"&amp;"-"&amp;D252,[1]flota_lineas_tp!$A$1:$F$65536,6,FALSE)</f>
        <v>0.44</v>
      </c>
      <c r="G252" s="1">
        <v>6202</v>
      </c>
      <c r="H252" s="3">
        <f>VLOOKUP("txc"&amp;"-"&amp;G252,[2]flota_lineas_tp!$A$1:$D$2000,4,FALSE)</f>
        <v>0.47</v>
      </c>
      <c r="J252" s="1">
        <v>6202</v>
      </c>
      <c r="K252" s="1">
        <f>VLOOKUP("txc"&amp;"-"&amp;J252,[3]flota_lineas_tp!$A$1:$D$2000,4,FALSE)</f>
        <v>12.83</v>
      </c>
      <c r="M252" s="1">
        <v>6202</v>
      </c>
    </row>
    <row r="253" spans="1:13" x14ac:dyDescent="0.2">
      <c r="A253" s="1">
        <v>6211</v>
      </c>
      <c r="B253" s="3">
        <f>VLOOKUP("h1-txc"&amp;"-"&amp;A253,[1]flota_lineas_tp!$A$1:$F$65536,6,FALSE)</f>
        <v>0.37</v>
      </c>
      <c r="D253" s="1">
        <v>6211</v>
      </c>
      <c r="E253" s="3">
        <f>VLOOKUP("h2-txc"&amp;"-"&amp;D253,[1]flota_lineas_tp!$A$1:$F$65536,6,FALSE)</f>
        <v>0.87</v>
      </c>
      <c r="G253" s="1">
        <v>6211</v>
      </c>
      <c r="H253" s="3">
        <f>VLOOKUP("txc"&amp;"-"&amp;G253,[2]flota_lineas_tp!$A$1:$D$2000,4,FALSE)</f>
        <v>8</v>
      </c>
      <c r="J253" s="1">
        <v>6211</v>
      </c>
      <c r="K253" s="1">
        <f>VLOOKUP("txc"&amp;"-"&amp;J253,[3]flota_lineas_tp!$A$1:$D$2000,4,FALSE)</f>
        <v>1.29</v>
      </c>
      <c r="M253" s="1">
        <v>6211</v>
      </c>
    </row>
    <row r="254" spans="1:13" x14ac:dyDescent="0.2">
      <c r="A254" s="1">
        <v>6212</v>
      </c>
      <c r="B254" s="3">
        <f>VLOOKUP("h1-txc"&amp;"-"&amp;A254,[1]flota_lineas_tp!$A$1:$F$65536,6,FALSE)</f>
        <v>0.69</v>
      </c>
      <c r="D254" s="1">
        <v>6212</v>
      </c>
      <c r="E254" s="3">
        <f>VLOOKUP("h2-txc"&amp;"-"&amp;D254,[1]flota_lineas_tp!$A$1:$F$65536,6,FALSE)</f>
        <v>0.45</v>
      </c>
      <c r="G254" s="1">
        <v>6212</v>
      </c>
      <c r="H254" s="3">
        <f>VLOOKUP("txc"&amp;"-"&amp;G254,[2]flota_lineas_tp!$A$1:$D$2000,4,FALSE)</f>
        <v>1.0900000000000001</v>
      </c>
      <c r="J254" s="1">
        <v>6212</v>
      </c>
      <c r="K254" s="1">
        <f>VLOOKUP("txc"&amp;"-"&amp;J254,[3]flota_lineas_tp!$A$1:$D$2000,4,FALSE)</f>
        <v>4.42</v>
      </c>
      <c r="M254" s="1">
        <v>6212</v>
      </c>
    </row>
    <row r="255" spans="1:13" x14ac:dyDescent="0.2">
      <c r="A255" s="1">
        <v>6501</v>
      </c>
      <c r="B255" s="3">
        <f>VLOOKUP("h1-txc"&amp;"-"&amp;A255,[1]flota_lineas_tp!$A$1:$F$65536,6,FALSE)</f>
        <v>0.46</v>
      </c>
      <c r="D255" s="1">
        <v>6501</v>
      </c>
      <c r="E255" s="3">
        <f>VLOOKUP("h2-txc"&amp;"-"&amp;D255,[1]flota_lineas_tp!$A$1:$F$65536,6,FALSE)</f>
        <v>2.23</v>
      </c>
      <c r="G255" s="1">
        <v>6501</v>
      </c>
      <c r="H255" s="3">
        <f>VLOOKUP("txc"&amp;"-"&amp;G255,[2]flota_lineas_tp!$A$1:$D$2000,4,FALSE)</f>
        <v>0.6</v>
      </c>
      <c r="J255" s="1">
        <v>6501</v>
      </c>
      <c r="K255" s="1">
        <f>VLOOKUP("txc"&amp;"-"&amp;J255,[3]flota_lineas_tp!$A$1:$D$2000,4,FALSE)</f>
        <v>0.33</v>
      </c>
      <c r="M255" s="1">
        <v>6501</v>
      </c>
    </row>
    <row r="256" spans="1:13" x14ac:dyDescent="0.2">
      <c r="A256" s="1">
        <v>6502</v>
      </c>
      <c r="B256" s="3">
        <f>VLOOKUP("h1-txc"&amp;"-"&amp;A256,[1]flota_lineas_tp!$A$1:$F$65536,6,FALSE)</f>
        <v>0.66</v>
      </c>
      <c r="D256" s="1">
        <v>6502</v>
      </c>
      <c r="E256" s="3">
        <f>VLOOKUP("h2-txc"&amp;"-"&amp;D256,[1]flota_lineas_tp!$A$1:$F$65536,6,FALSE)</f>
        <v>2.95</v>
      </c>
      <c r="G256" s="1">
        <v>6502</v>
      </c>
      <c r="H256" s="3">
        <f>VLOOKUP("txc"&amp;"-"&amp;G256,[2]flota_lineas_tp!$A$1:$D$2000,4,FALSE)</f>
        <v>0.78</v>
      </c>
      <c r="J256" s="1">
        <v>6502</v>
      </c>
      <c r="K256" s="1">
        <f>VLOOKUP("txc"&amp;"-"&amp;J256,[3]flota_lineas_tp!$A$1:$D$2000,4,FALSE)</f>
        <v>0.96</v>
      </c>
      <c r="M256" s="1">
        <v>6502</v>
      </c>
    </row>
    <row r="257" spans="1:13" x14ac:dyDescent="0.2">
      <c r="A257" s="1">
        <v>6511</v>
      </c>
      <c r="B257" s="3">
        <f>VLOOKUP("h1-txc"&amp;"-"&amp;A257,[1]flota_lineas_tp!$A$1:$F$65536,6,FALSE)</f>
        <v>0.31</v>
      </c>
      <c r="D257" s="1">
        <v>6511</v>
      </c>
      <c r="E257" s="3">
        <f>VLOOKUP("h2-txc"&amp;"-"&amp;D257,[1]flota_lineas_tp!$A$1:$F$65536,6,FALSE)</f>
        <v>1.06</v>
      </c>
      <c r="G257" s="1">
        <v>6511</v>
      </c>
      <c r="H257" s="3">
        <f>VLOOKUP("txc"&amp;"-"&amp;G257,[2]flota_lineas_tp!$A$1:$D$2000,4,FALSE)</f>
        <v>0.87</v>
      </c>
      <c r="J257" s="1">
        <v>6511</v>
      </c>
      <c r="K257" s="1">
        <f>VLOOKUP("txc"&amp;"-"&amp;J257,[3]flota_lineas_tp!$A$1:$D$2000,4,FALSE)</f>
        <v>4.05</v>
      </c>
      <c r="M257" s="1">
        <v>6511</v>
      </c>
    </row>
    <row r="258" spans="1:13" x14ac:dyDescent="0.2">
      <c r="A258" s="1">
        <v>6512</v>
      </c>
      <c r="B258" s="3">
        <f>VLOOKUP("h1-txc"&amp;"-"&amp;A258,[1]flota_lineas_tp!$A$1:$F$65536,6,FALSE)</f>
        <v>0.12</v>
      </c>
      <c r="D258" s="1">
        <v>6512</v>
      </c>
      <c r="E258" s="3">
        <f>VLOOKUP("h2-txc"&amp;"-"&amp;D258,[1]flota_lineas_tp!$A$1:$F$65536,6,FALSE)</f>
        <v>0.43</v>
      </c>
      <c r="G258" s="1">
        <v>6512</v>
      </c>
      <c r="H258" s="3">
        <f>VLOOKUP("txc"&amp;"-"&amp;G258,[2]flota_lineas_tp!$A$1:$D$2000,4,FALSE)</f>
        <v>0.28999999999999998</v>
      </c>
      <c r="J258" s="1">
        <v>6512</v>
      </c>
      <c r="K258" s="1">
        <f>VLOOKUP("txc"&amp;"-"&amp;J258,[3]flota_lineas_tp!$A$1:$D$2000,4,FALSE)</f>
        <v>0.36</v>
      </c>
      <c r="M258" s="1">
        <v>6512</v>
      </c>
    </row>
    <row r="259" spans="1:13" x14ac:dyDescent="0.2">
      <c r="A259" s="1">
        <v>6601</v>
      </c>
      <c r="B259" s="3">
        <f>VLOOKUP("h1-txc"&amp;"-"&amp;A259,[1]flota_lineas_tp!$A$1:$F$65536,6,FALSE)</f>
        <v>1.41</v>
      </c>
      <c r="D259" s="1">
        <v>6601</v>
      </c>
      <c r="E259" s="3">
        <f>VLOOKUP("h2-txc"&amp;"-"&amp;D259,[1]flota_lineas_tp!$A$1:$F$65536,6,FALSE)</f>
        <v>2.59</v>
      </c>
      <c r="G259" s="1">
        <v>6601</v>
      </c>
      <c r="H259" s="3">
        <f>VLOOKUP("txc"&amp;"-"&amp;G259,[2]flota_lineas_tp!$A$1:$D$2000,4,FALSE)</f>
        <v>2.15</v>
      </c>
      <c r="J259" s="1">
        <v>6601</v>
      </c>
      <c r="K259" s="1">
        <f>VLOOKUP("txc"&amp;"-"&amp;J259,[3]flota_lineas_tp!$A$1:$D$2000,4,FALSE)</f>
        <v>2.23</v>
      </c>
      <c r="M259" s="1">
        <v>6601</v>
      </c>
    </row>
    <row r="260" spans="1:13" x14ac:dyDescent="0.2">
      <c r="A260" s="1">
        <v>6602</v>
      </c>
      <c r="B260" s="3">
        <f>VLOOKUP("h1-txc"&amp;"-"&amp;A260,[1]flota_lineas_tp!$A$1:$F$65536,6,FALSE)</f>
        <v>9.23</v>
      </c>
      <c r="D260" s="1">
        <v>6602</v>
      </c>
      <c r="E260" s="3">
        <f>VLOOKUP("h2-txc"&amp;"-"&amp;D260,[1]flota_lineas_tp!$A$1:$F$65536,6,FALSE)</f>
        <v>15.13</v>
      </c>
      <c r="G260" s="1">
        <v>6602</v>
      </c>
      <c r="H260" s="3">
        <f>VLOOKUP("txc"&amp;"-"&amp;G260,[2]flota_lineas_tp!$A$1:$D$2000,4,FALSE)</f>
        <v>3.5</v>
      </c>
      <c r="J260" s="1">
        <v>6602</v>
      </c>
      <c r="K260" s="1">
        <f>VLOOKUP("txc"&amp;"-"&amp;J260,[3]flota_lineas_tp!$A$1:$D$2000,4,FALSE)</f>
        <v>3.69</v>
      </c>
      <c r="M260" s="1">
        <v>6602</v>
      </c>
    </row>
    <row r="261" spans="1:13" x14ac:dyDescent="0.2">
      <c r="A261" s="1">
        <v>6621</v>
      </c>
      <c r="B261" s="3">
        <f>VLOOKUP("h1-txc"&amp;"-"&amp;A261,[1]flota_lineas_tp!$A$1:$F$65536,6,FALSE)</f>
        <v>0.2</v>
      </c>
      <c r="D261" s="1">
        <v>6621</v>
      </c>
      <c r="E261" s="3">
        <f>VLOOKUP("h2-txc"&amp;"-"&amp;D261,[1]flota_lineas_tp!$A$1:$F$65536,6,FALSE)</f>
        <v>0.4</v>
      </c>
      <c r="G261" s="1">
        <v>6621</v>
      </c>
      <c r="H261" s="3">
        <f>VLOOKUP("txc"&amp;"-"&amp;G261,[2]flota_lineas_tp!$A$1:$D$2000,4,FALSE)</f>
        <v>1.25</v>
      </c>
      <c r="J261" s="1">
        <v>6621</v>
      </c>
      <c r="K261" s="1">
        <f>VLOOKUP("txc"&amp;"-"&amp;J261,[3]flota_lineas_tp!$A$1:$D$2000,4,FALSE)</f>
        <v>1.17</v>
      </c>
      <c r="M261" s="1">
        <v>6621</v>
      </c>
    </row>
    <row r="262" spans="1:13" x14ac:dyDescent="0.2">
      <c r="A262" s="1">
        <v>6622</v>
      </c>
      <c r="B262" s="3">
        <f>VLOOKUP("h1-txc"&amp;"-"&amp;A262,[1]flota_lineas_tp!$A$1:$F$65536,6,FALSE)</f>
        <v>0.81</v>
      </c>
      <c r="D262" s="1">
        <v>6622</v>
      </c>
      <c r="E262" s="3">
        <f>VLOOKUP("h2-txc"&amp;"-"&amp;D262,[1]flota_lineas_tp!$A$1:$F$65536,6,FALSE)</f>
        <v>5.59</v>
      </c>
      <c r="G262" s="1">
        <v>6622</v>
      </c>
      <c r="H262" s="3">
        <f>VLOOKUP("txc"&amp;"-"&amp;G262,[2]flota_lineas_tp!$A$1:$D$2000,4,FALSE)</f>
        <v>5.67</v>
      </c>
      <c r="J262" s="1">
        <v>6622</v>
      </c>
      <c r="K262" s="1">
        <f>VLOOKUP("txc"&amp;"-"&amp;J262,[3]flota_lineas_tp!$A$1:$D$2000,4,FALSE)</f>
        <v>6.55</v>
      </c>
      <c r="M262" s="1">
        <v>6622</v>
      </c>
    </row>
    <row r="263" spans="1:13" x14ac:dyDescent="0.2">
      <c r="A263" s="1">
        <v>6611</v>
      </c>
      <c r="B263" s="3">
        <f>VLOOKUP("h1-txc"&amp;"-"&amp;A263,[1]flota_lineas_tp!$A$1:$F$65536,6,FALSE)</f>
        <v>1.41</v>
      </c>
      <c r="D263" s="1">
        <v>6611</v>
      </c>
      <c r="E263" s="3">
        <f>VLOOKUP("h2-txc"&amp;"-"&amp;D263,[1]flota_lineas_tp!$A$1:$F$65536,6,FALSE)</f>
        <v>2.14</v>
      </c>
      <c r="G263" s="1">
        <v>6611</v>
      </c>
      <c r="H263" s="3">
        <f>VLOOKUP("txc"&amp;"-"&amp;G263,[2]flota_lineas_tp!$A$1:$D$2000,4,FALSE)</f>
        <v>2.34</v>
      </c>
      <c r="J263" s="1">
        <v>6611</v>
      </c>
      <c r="K263" s="1">
        <f>VLOOKUP("txc"&amp;"-"&amp;J263,[3]flota_lineas_tp!$A$1:$D$2000,4,FALSE)</f>
        <v>2</v>
      </c>
      <c r="M263" s="1">
        <v>6611</v>
      </c>
    </row>
    <row r="264" spans="1:13" x14ac:dyDescent="0.2">
      <c r="A264" s="1">
        <v>6612</v>
      </c>
      <c r="B264" s="3">
        <f>VLOOKUP("h1-txc"&amp;"-"&amp;A264,[1]flota_lineas_tp!$A$1:$F$65536,6,FALSE)</f>
        <v>0.38</v>
      </c>
      <c r="D264" s="1">
        <v>6612</v>
      </c>
      <c r="E264" s="3">
        <f>VLOOKUP("h2-txc"&amp;"-"&amp;D264,[1]flota_lineas_tp!$A$1:$F$65536,6,FALSE)</f>
        <v>1.66</v>
      </c>
      <c r="G264" s="1">
        <v>6612</v>
      </c>
      <c r="H264" s="3">
        <f>VLOOKUP("txc"&amp;"-"&amp;G264,[2]flota_lineas_tp!$A$1:$D$2000,4,FALSE)</f>
        <v>0.56999999999999995</v>
      </c>
      <c r="J264" s="1">
        <v>6612</v>
      </c>
      <c r="K264" s="1">
        <f>VLOOKUP("txc"&amp;"-"&amp;J264,[3]flota_lineas_tp!$A$1:$D$2000,4,FALSE)</f>
        <v>3.99</v>
      </c>
      <c r="M264" s="1">
        <v>6612</v>
      </c>
    </row>
    <row r="265" spans="1:13" x14ac:dyDescent="0.2">
      <c r="A265" s="1">
        <v>6901</v>
      </c>
      <c r="B265" s="3">
        <f>VLOOKUP("h1-txc"&amp;"-"&amp;A265,[1]flota_lineas_tp!$A$1:$F$65536,6,FALSE)</f>
        <v>0.18</v>
      </c>
      <c r="D265" s="1">
        <v>6901</v>
      </c>
      <c r="E265" s="3">
        <f>VLOOKUP("h2-txc"&amp;"-"&amp;D265,[1]flota_lineas_tp!$A$1:$F$65536,6,FALSE)</f>
        <v>0.21</v>
      </c>
      <c r="G265" s="1">
        <v>6901</v>
      </c>
      <c r="H265" s="3">
        <f>VLOOKUP("txc"&amp;"-"&amp;G265,[2]flota_lineas_tp!$A$1:$D$2000,4,FALSE)</f>
        <v>0.72</v>
      </c>
      <c r="J265" s="1">
        <v>6901</v>
      </c>
      <c r="K265" s="1">
        <f>VLOOKUP("txc"&amp;"-"&amp;J265,[3]flota_lineas_tp!$A$1:$D$2000,4,FALSE)</f>
        <v>2.41</v>
      </c>
      <c r="M265" s="1">
        <v>6901</v>
      </c>
    </row>
    <row r="266" spans="1:13" x14ac:dyDescent="0.2">
      <c r="A266" s="1">
        <v>6902</v>
      </c>
      <c r="B266" s="3">
        <f>VLOOKUP("h1-txc"&amp;"-"&amp;A266,[1]flota_lineas_tp!$A$1:$F$65536,6,FALSE)</f>
        <v>3.65</v>
      </c>
      <c r="D266" s="1">
        <v>6902</v>
      </c>
      <c r="E266" s="3">
        <f>VLOOKUP("h2-txc"&amp;"-"&amp;D266,[1]flota_lineas_tp!$A$1:$F$65536,6,FALSE)</f>
        <v>4.43</v>
      </c>
      <c r="G266" s="1">
        <v>6902</v>
      </c>
      <c r="H266" s="3">
        <f>VLOOKUP("txc"&amp;"-"&amp;G266,[2]flota_lineas_tp!$A$1:$D$2000,4,FALSE)</f>
        <v>3.77</v>
      </c>
      <c r="J266" s="1">
        <v>6902</v>
      </c>
      <c r="K266" s="1">
        <f>VLOOKUP("txc"&amp;"-"&amp;J266,[3]flota_lineas_tp!$A$1:$D$2000,4,FALSE)</f>
        <v>5.75</v>
      </c>
      <c r="M266" s="1">
        <v>6902</v>
      </c>
    </row>
    <row r="267" spans="1:13" x14ac:dyDescent="0.2">
      <c r="A267" s="1">
        <v>6911</v>
      </c>
      <c r="B267" s="3">
        <f>VLOOKUP("h1-txc"&amp;"-"&amp;A267,[1]flota_lineas_tp!$A$1:$F$65536,6,FALSE)</f>
        <v>0.2</v>
      </c>
      <c r="D267" s="1">
        <v>6911</v>
      </c>
      <c r="E267" s="3">
        <f>VLOOKUP("h2-txc"&amp;"-"&amp;D267,[1]flota_lineas_tp!$A$1:$F$65536,6,FALSE)</f>
        <v>0.23</v>
      </c>
      <c r="G267" s="1">
        <v>6911</v>
      </c>
      <c r="H267" s="3">
        <f>VLOOKUP("txc"&amp;"-"&amp;G267,[2]flota_lineas_tp!$A$1:$D$2000,4,FALSE)</f>
        <v>0.21</v>
      </c>
      <c r="J267" s="1">
        <v>6911</v>
      </c>
      <c r="K267" s="1">
        <f>VLOOKUP("txc"&amp;"-"&amp;J267,[3]flota_lineas_tp!$A$1:$D$2000,4,FALSE)</f>
        <v>0.22</v>
      </c>
      <c r="M267" s="1">
        <v>6911</v>
      </c>
    </row>
    <row r="268" spans="1:13" x14ac:dyDescent="0.2">
      <c r="A268" s="1">
        <v>6912</v>
      </c>
      <c r="B268" s="3">
        <f>VLOOKUP("h1-txc"&amp;"-"&amp;A268,[1]flota_lineas_tp!$A$1:$F$65536,6,FALSE)</f>
        <v>4.6100000000000003</v>
      </c>
      <c r="D268" s="1">
        <v>6912</v>
      </c>
      <c r="E268" s="3">
        <f>VLOOKUP("h2-txc"&amp;"-"&amp;D268,[1]flota_lineas_tp!$A$1:$F$65536,6,FALSE)</f>
        <v>2.77</v>
      </c>
      <c r="G268" s="1">
        <v>6912</v>
      </c>
      <c r="H268" s="3">
        <f>VLOOKUP("txc"&amp;"-"&amp;G268,[2]flota_lineas_tp!$A$1:$D$2000,4,FALSE)</f>
        <v>0.91</v>
      </c>
      <c r="J268" s="1">
        <v>6912</v>
      </c>
      <c r="K268" s="1">
        <f>VLOOKUP("txc"&amp;"-"&amp;J268,[3]flota_lineas_tp!$A$1:$D$2000,4,FALSE)</f>
        <v>0.2</v>
      </c>
      <c r="M268" s="1">
        <v>6912</v>
      </c>
    </row>
    <row r="269" spans="1:13" x14ac:dyDescent="0.2">
      <c r="A269" s="1">
        <v>6921</v>
      </c>
      <c r="B269" s="3">
        <f>VLOOKUP("h1-txc"&amp;"-"&amp;A269,[1]flota_lineas_tp!$A$1:$F$65536,6,FALSE)</f>
        <v>1.58</v>
      </c>
      <c r="D269" s="1">
        <v>6921</v>
      </c>
      <c r="E269" s="3">
        <f>VLOOKUP("h2-txc"&amp;"-"&amp;D269,[1]flota_lineas_tp!$A$1:$F$65536,6,FALSE)</f>
        <v>1.79</v>
      </c>
      <c r="G269" s="1">
        <v>6921</v>
      </c>
      <c r="H269" s="3">
        <f>VLOOKUP("txc"&amp;"-"&amp;G269,[2]flota_lineas_tp!$A$1:$D$2000,4,FALSE)</f>
        <v>0.22</v>
      </c>
      <c r="J269" s="1">
        <v>6921</v>
      </c>
      <c r="K269" s="1">
        <f>VLOOKUP("txc"&amp;"-"&amp;J269,[3]flota_lineas_tp!$A$1:$D$2000,4,FALSE)</f>
        <v>0.24</v>
      </c>
      <c r="M269" s="1">
        <v>6921</v>
      </c>
    </row>
    <row r="270" spans="1:13" x14ac:dyDescent="0.2">
      <c r="A270" s="1">
        <v>6922</v>
      </c>
      <c r="B270" s="3">
        <f>VLOOKUP("h1-txc"&amp;"-"&amp;A270,[1]flota_lineas_tp!$A$1:$F$65536,6,FALSE)</f>
        <v>0.64</v>
      </c>
      <c r="D270" s="1">
        <v>6922</v>
      </c>
      <c r="E270" s="3">
        <f>VLOOKUP("h2-txc"&amp;"-"&amp;D270,[1]flota_lineas_tp!$A$1:$F$65536,6,FALSE)</f>
        <v>0.31</v>
      </c>
      <c r="G270" s="1">
        <v>6922</v>
      </c>
      <c r="H270" s="3">
        <f>VLOOKUP("txc"&amp;"-"&amp;G270,[2]flota_lineas_tp!$A$1:$D$2000,4,FALSE)</f>
        <v>0.28999999999999998</v>
      </c>
      <c r="J270" s="1">
        <v>6922</v>
      </c>
      <c r="K270" s="1">
        <f>VLOOKUP("txc"&amp;"-"&amp;J270,[3]flota_lineas_tp!$A$1:$D$2000,4,FALSE)</f>
        <v>0.3</v>
      </c>
      <c r="M270" s="1">
        <v>6922</v>
      </c>
    </row>
    <row r="271" spans="1:13" x14ac:dyDescent="0.2">
      <c r="A271" s="1">
        <v>711</v>
      </c>
      <c r="B271" s="3">
        <f>VLOOKUP("h1-txc"&amp;"-"&amp;A271,[1]flota_lineas_tp!$A$1:$F$65536,6,FALSE)</f>
        <v>2.82</v>
      </c>
      <c r="D271" s="1">
        <v>711</v>
      </c>
      <c r="E271" s="3">
        <f>VLOOKUP("h2-txc"&amp;"-"&amp;D271,[1]flota_lineas_tp!$A$1:$F$65536,6,FALSE)</f>
        <v>2.85</v>
      </c>
      <c r="G271" s="1">
        <v>711</v>
      </c>
      <c r="H271" s="3">
        <f>VLOOKUP("txc"&amp;"-"&amp;G271,[2]flota_lineas_tp!$A$1:$D$2000,4,FALSE)</f>
        <v>1.1200000000000001</v>
      </c>
      <c r="J271" s="1">
        <v>711</v>
      </c>
      <c r="K271" s="1">
        <f>VLOOKUP("txc"&amp;"-"&amp;J271,[3]flota_lineas_tp!$A$1:$D$2000,4,FALSE)</f>
        <v>0.83</v>
      </c>
      <c r="M271" s="1">
        <v>711</v>
      </c>
    </row>
    <row r="272" spans="1:13" x14ac:dyDescent="0.2">
      <c r="A272" s="1">
        <v>712</v>
      </c>
      <c r="B272" s="3">
        <f>VLOOKUP("h1-txc"&amp;"-"&amp;A272,[1]flota_lineas_tp!$A$1:$F$65536,6,FALSE)</f>
        <v>0.41</v>
      </c>
      <c r="D272" s="1">
        <v>712</v>
      </c>
      <c r="E272" s="3">
        <f>VLOOKUP("h2-txc"&amp;"-"&amp;D272,[1]flota_lineas_tp!$A$1:$F$65536,6,FALSE)</f>
        <v>20.97</v>
      </c>
      <c r="G272" s="1">
        <v>712</v>
      </c>
      <c r="H272" s="3">
        <f>VLOOKUP("txc"&amp;"-"&amp;G272,[2]flota_lineas_tp!$A$1:$D$2000,4,FALSE)</f>
        <v>6.39</v>
      </c>
      <c r="J272" s="1">
        <v>712</v>
      </c>
      <c r="K272" s="1">
        <f>VLOOKUP("txc"&amp;"-"&amp;J272,[3]flota_lineas_tp!$A$1:$D$2000,4,FALSE)</f>
        <v>4.04</v>
      </c>
      <c r="M272" s="1">
        <v>712</v>
      </c>
    </row>
    <row r="273" spans="1:13" x14ac:dyDescent="0.2">
      <c r="A273" s="1">
        <v>721</v>
      </c>
      <c r="B273" s="3">
        <f>VLOOKUP("h1-txc"&amp;"-"&amp;A273,[1]flota_lineas_tp!$A$1:$F$65536,6,FALSE)</f>
        <v>0.36</v>
      </c>
      <c r="D273" s="1">
        <v>721</v>
      </c>
      <c r="E273" s="3">
        <f>VLOOKUP("h2-txc"&amp;"-"&amp;D273,[1]flota_lineas_tp!$A$1:$F$65536,6,FALSE)</f>
        <v>1.01</v>
      </c>
      <c r="G273" s="1">
        <v>721</v>
      </c>
      <c r="H273" s="3">
        <f>VLOOKUP("txc"&amp;"-"&amp;G273,[2]flota_lineas_tp!$A$1:$D$2000,4,FALSE)</f>
        <v>0.38</v>
      </c>
      <c r="J273" s="1">
        <v>721</v>
      </c>
      <c r="K273" s="1">
        <f>VLOOKUP("txc"&amp;"-"&amp;J273,[3]flota_lineas_tp!$A$1:$D$2000,4,FALSE)</f>
        <v>0.4</v>
      </c>
      <c r="M273" s="1">
        <v>721</v>
      </c>
    </row>
    <row r="274" spans="1:13" x14ac:dyDescent="0.2">
      <c r="A274" s="1">
        <v>722</v>
      </c>
      <c r="B274" s="3">
        <f>VLOOKUP("h1-txc"&amp;"-"&amp;A274,[1]flota_lineas_tp!$A$1:$F$65536,6,FALSE)</f>
        <v>0.39</v>
      </c>
      <c r="D274" s="1">
        <v>722</v>
      </c>
      <c r="E274" s="3">
        <f>VLOOKUP("h2-txc"&amp;"-"&amp;D274,[1]flota_lineas_tp!$A$1:$F$65536,6,FALSE)</f>
        <v>10.16</v>
      </c>
      <c r="G274" s="1">
        <v>722</v>
      </c>
      <c r="H274" s="3">
        <f>VLOOKUP("txc"&amp;"-"&amp;G274,[2]flota_lineas_tp!$A$1:$D$2000,4,FALSE)</f>
        <v>1.26</v>
      </c>
      <c r="J274" s="1">
        <v>722</v>
      </c>
      <c r="K274" s="1">
        <f>VLOOKUP("txc"&amp;"-"&amp;J274,[3]flota_lineas_tp!$A$1:$D$2000,4,FALSE)</f>
        <v>0.45</v>
      </c>
      <c r="M274" s="1">
        <v>722</v>
      </c>
    </row>
    <row r="275" spans="1:13" x14ac:dyDescent="0.2">
      <c r="A275" s="1">
        <v>701</v>
      </c>
      <c r="B275" s="3">
        <f>VLOOKUP("h1-txc"&amp;"-"&amp;A275,[1]flota_lineas_tp!$A$1:$F$65536,6,FALSE)</f>
        <v>1.22</v>
      </c>
      <c r="D275" s="1">
        <v>701</v>
      </c>
      <c r="E275" s="3">
        <f>VLOOKUP("h2-txc"&amp;"-"&amp;D275,[1]flota_lineas_tp!$A$1:$F$65536,6,FALSE)</f>
        <v>0.42</v>
      </c>
      <c r="G275" s="1">
        <v>701</v>
      </c>
      <c r="H275" s="3">
        <f>VLOOKUP("txc"&amp;"-"&amp;G275,[2]flota_lineas_tp!$A$1:$D$2000,4,FALSE)</f>
        <v>0.34</v>
      </c>
      <c r="J275" s="1">
        <v>701</v>
      </c>
      <c r="K275" s="1">
        <f>VLOOKUP("txc"&amp;"-"&amp;J275,[3]flota_lineas_tp!$A$1:$D$2000,4,FALSE)</f>
        <v>17.52</v>
      </c>
      <c r="M275" s="1">
        <v>701</v>
      </c>
    </row>
    <row r="276" spans="1:13" x14ac:dyDescent="0.2">
      <c r="A276" s="1">
        <v>702</v>
      </c>
      <c r="B276" s="3">
        <f>VLOOKUP("h1-txc"&amp;"-"&amp;A276,[1]flota_lineas_tp!$A$1:$F$65536,6,FALSE)</f>
        <v>0.35</v>
      </c>
      <c r="D276" s="1">
        <v>702</v>
      </c>
      <c r="E276" s="3">
        <f>VLOOKUP("h2-txc"&amp;"-"&amp;D276,[1]flota_lineas_tp!$A$1:$F$65536,6,FALSE)</f>
        <v>0.7</v>
      </c>
      <c r="G276" s="1">
        <v>702</v>
      </c>
      <c r="H276" s="3">
        <f>VLOOKUP("txc"&amp;"-"&amp;G276,[2]flota_lineas_tp!$A$1:$D$2000,4,FALSE)</f>
        <v>0.54</v>
      </c>
      <c r="J276" s="1">
        <v>702</v>
      </c>
      <c r="K276" s="1">
        <f>VLOOKUP("txc"&amp;"-"&amp;J276,[3]flota_lineas_tp!$A$1:$D$2000,4,FALSE)</f>
        <v>0.39</v>
      </c>
      <c r="M276" s="1">
        <v>702</v>
      </c>
    </row>
    <row r="277" spans="1:13" x14ac:dyDescent="0.2">
      <c r="A277" s="1">
        <v>7001</v>
      </c>
      <c r="B277" s="3">
        <f>VLOOKUP("h1-txc"&amp;"-"&amp;A277,[1]flota_lineas_tp!$A$1:$F$65536,6,FALSE)</f>
        <v>7.82</v>
      </c>
      <c r="D277" s="1">
        <v>7001</v>
      </c>
      <c r="E277" s="3">
        <f>VLOOKUP("h2-txc"&amp;"-"&amp;D277,[1]flota_lineas_tp!$A$1:$F$65536,6,FALSE)</f>
        <v>4.6100000000000003</v>
      </c>
      <c r="G277" s="1">
        <v>7001</v>
      </c>
      <c r="H277" s="3">
        <f>VLOOKUP("txc"&amp;"-"&amp;G277,[2]flota_lineas_tp!$A$1:$D$2000,4,FALSE)</f>
        <v>0.42</v>
      </c>
      <c r="J277" s="1">
        <v>7001</v>
      </c>
      <c r="K277" s="1">
        <f>VLOOKUP("txc"&amp;"-"&amp;J277,[3]flota_lineas_tp!$A$1:$D$2000,4,FALSE)</f>
        <v>0.95</v>
      </c>
      <c r="M277" s="1">
        <v>7001</v>
      </c>
    </row>
    <row r="278" spans="1:13" x14ac:dyDescent="0.2">
      <c r="A278" s="1">
        <v>7002</v>
      </c>
      <c r="B278" s="3">
        <f>VLOOKUP("h1-txc"&amp;"-"&amp;A278,[1]flota_lineas_tp!$A$1:$F$65536,6,FALSE)</f>
        <v>8.68</v>
      </c>
      <c r="D278" s="1">
        <v>7002</v>
      </c>
      <c r="E278" s="3">
        <f>VLOOKUP("h2-txc"&amp;"-"&amp;D278,[1]flota_lineas_tp!$A$1:$F$65536,6,FALSE)</f>
        <v>5.51</v>
      </c>
      <c r="G278" s="1">
        <v>7002</v>
      </c>
      <c r="H278" s="3">
        <f>VLOOKUP("txc"&amp;"-"&amp;G278,[2]flota_lineas_tp!$A$1:$D$2000,4,FALSE)</f>
        <v>7.28</v>
      </c>
      <c r="J278" s="1">
        <v>7002</v>
      </c>
      <c r="K278" s="1">
        <f>VLOOKUP("txc"&amp;"-"&amp;J278,[3]flota_lineas_tp!$A$1:$D$2000,4,FALSE)</f>
        <v>11.01</v>
      </c>
      <c r="M278" s="1">
        <v>7002</v>
      </c>
    </row>
    <row r="279" spans="1:13" x14ac:dyDescent="0.2">
      <c r="A279" s="1">
        <v>7101</v>
      </c>
      <c r="B279" s="3">
        <f>VLOOKUP("h1-txc"&amp;"-"&amp;A279,[1]flota_lineas_tp!$A$1:$F$65536,6,FALSE)</f>
        <v>0.16</v>
      </c>
      <c r="D279" s="1">
        <v>7101</v>
      </c>
      <c r="E279" s="3">
        <f>VLOOKUP("h2-txc"&amp;"-"&amp;D279,[1]flota_lineas_tp!$A$1:$F$65536,6,FALSE)</f>
        <v>0.18</v>
      </c>
      <c r="G279" s="1">
        <v>7101</v>
      </c>
      <c r="H279" s="3">
        <f>VLOOKUP("txc"&amp;"-"&amp;G279,[2]flota_lineas_tp!$A$1:$D$2000,4,FALSE)</f>
        <v>0.16</v>
      </c>
      <c r="J279" s="1">
        <v>7101</v>
      </c>
      <c r="K279" s="1">
        <f>VLOOKUP("txc"&amp;"-"&amp;J279,[3]flota_lineas_tp!$A$1:$D$2000,4,FALSE)</f>
        <v>0.17</v>
      </c>
      <c r="M279" s="1">
        <v>7101</v>
      </c>
    </row>
    <row r="280" spans="1:13" x14ac:dyDescent="0.2">
      <c r="A280" s="1">
        <v>7102</v>
      </c>
      <c r="B280" s="3">
        <f>VLOOKUP("h1-txc"&amp;"-"&amp;A280,[1]flota_lineas_tp!$A$1:$F$65536,6,FALSE)</f>
        <v>0.65</v>
      </c>
      <c r="D280" s="1">
        <v>7102</v>
      </c>
      <c r="E280" s="3">
        <f>VLOOKUP("h2-txc"&amp;"-"&amp;D280,[1]flota_lineas_tp!$A$1:$F$65536,6,FALSE)</f>
        <v>1.01</v>
      </c>
      <c r="G280" s="1">
        <v>7102</v>
      </c>
      <c r="H280" s="3">
        <f>VLOOKUP("txc"&amp;"-"&amp;G280,[2]flota_lineas_tp!$A$1:$D$2000,4,FALSE)</f>
        <v>1.06</v>
      </c>
      <c r="J280" s="1">
        <v>7102</v>
      </c>
      <c r="K280" s="1">
        <f>VLOOKUP("txc"&amp;"-"&amp;J280,[3]flota_lineas_tp!$A$1:$D$2000,4,FALSE)</f>
        <v>0.74</v>
      </c>
      <c r="M280" s="1">
        <v>7102</v>
      </c>
    </row>
    <row r="281" spans="1:13" x14ac:dyDescent="0.2">
      <c r="A281" s="1">
        <v>7111</v>
      </c>
      <c r="B281" s="3">
        <f>VLOOKUP("h1-txc"&amp;"-"&amp;A281,[1]flota_lineas_tp!$A$1:$F$65536,6,FALSE)</f>
        <v>2.82</v>
      </c>
      <c r="D281" s="1">
        <v>7111</v>
      </c>
      <c r="E281" s="3">
        <f>VLOOKUP("h2-txc"&amp;"-"&amp;D281,[1]flota_lineas_tp!$A$1:$F$65536,6,FALSE)</f>
        <v>2.93</v>
      </c>
      <c r="G281" s="1">
        <v>7111</v>
      </c>
      <c r="H281" s="3">
        <f>VLOOKUP("txc"&amp;"-"&amp;G281,[2]flota_lineas_tp!$A$1:$D$2000,4,FALSE)</f>
        <v>5.44</v>
      </c>
      <c r="J281" s="1">
        <v>7111</v>
      </c>
      <c r="K281" s="1">
        <f>VLOOKUP("txc"&amp;"-"&amp;J281,[3]flota_lineas_tp!$A$1:$D$2000,4,FALSE)</f>
        <v>3.09</v>
      </c>
      <c r="M281" s="1">
        <v>7111</v>
      </c>
    </row>
    <row r="282" spans="1:13" x14ac:dyDescent="0.2">
      <c r="A282" s="1">
        <v>7112</v>
      </c>
      <c r="B282" s="3">
        <f>VLOOKUP("h1-txc"&amp;"-"&amp;A282,[1]flota_lineas_tp!$A$1:$F$65536,6,FALSE)</f>
        <v>1</v>
      </c>
      <c r="D282" s="1">
        <v>7112</v>
      </c>
      <c r="E282" s="3">
        <f>VLOOKUP("h2-txc"&amp;"-"&amp;D282,[1]flota_lineas_tp!$A$1:$F$65536,6,FALSE)</f>
        <v>5.01</v>
      </c>
      <c r="G282" s="1">
        <v>7112</v>
      </c>
      <c r="H282" s="3">
        <f>VLOOKUP("txc"&amp;"-"&amp;G282,[2]flota_lineas_tp!$A$1:$D$2000,4,FALSE)</f>
        <v>1.82</v>
      </c>
      <c r="J282" s="1">
        <v>7112</v>
      </c>
      <c r="K282" s="1">
        <f>VLOOKUP("txc"&amp;"-"&amp;J282,[3]flota_lineas_tp!$A$1:$D$2000,4,FALSE)</f>
        <v>2.17</v>
      </c>
      <c r="M282" s="1">
        <v>7112</v>
      </c>
    </row>
    <row r="283" spans="1:13" x14ac:dyDescent="0.2">
      <c r="A283" s="1">
        <v>7121</v>
      </c>
      <c r="B283" s="3">
        <f>VLOOKUP("h1-txc"&amp;"-"&amp;A283,[1]flota_lineas_tp!$A$1:$F$65536,6,FALSE)</f>
        <v>0.14000000000000001</v>
      </c>
      <c r="D283" s="1">
        <v>7121</v>
      </c>
      <c r="E283" s="3">
        <f>VLOOKUP("h2-txc"&amp;"-"&amp;D283,[1]flota_lineas_tp!$A$1:$F$65536,6,FALSE)</f>
        <v>0.15</v>
      </c>
      <c r="G283" s="1">
        <v>7121</v>
      </c>
      <c r="H283" s="3">
        <f>VLOOKUP("txc"&amp;"-"&amp;G283,[2]flota_lineas_tp!$A$1:$D$2000,4,FALSE)</f>
        <v>0.13</v>
      </c>
      <c r="J283" s="1">
        <v>7121</v>
      </c>
      <c r="K283" s="1">
        <f>VLOOKUP("txc"&amp;"-"&amp;J283,[3]flota_lineas_tp!$A$1:$D$2000,4,FALSE)</f>
        <v>0.14000000000000001</v>
      </c>
      <c r="M283" s="1">
        <v>7121</v>
      </c>
    </row>
    <row r="284" spans="1:13" x14ac:dyDescent="0.2">
      <c r="A284" s="1">
        <v>7122</v>
      </c>
      <c r="B284" s="3">
        <f>VLOOKUP("h1-txc"&amp;"-"&amp;A284,[1]flota_lineas_tp!$A$1:$F$65536,6,FALSE)</f>
        <v>1.3</v>
      </c>
      <c r="D284" s="1">
        <v>7122</v>
      </c>
      <c r="E284" s="3">
        <f>VLOOKUP("h2-txc"&amp;"-"&amp;D284,[1]flota_lineas_tp!$A$1:$F$65536,6,FALSE)</f>
        <v>2.64</v>
      </c>
      <c r="G284" s="1">
        <v>7122</v>
      </c>
      <c r="H284" s="3">
        <f>VLOOKUP("txc"&amp;"-"&amp;G284,[2]flota_lineas_tp!$A$1:$D$2000,4,FALSE)</f>
        <v>2.75</v>
      </c>
      <c r="J284" s="1">
        <v>7122</v>
      </c>
      <c r="K284" s="1">
        <f>VLOOKUP("txc"&amp;"-"&amp;J284,[3]flota_lineas_tp!$A$1:$D$2000,4,FALSE)</f>
        <v>2.23</v>
      </c>
      <c r="M284" s="1">
        <v>7122</v>
      </c>
    </row>
    <row r="285" spans="1:13" x14ac:dyDescent="0.2">
      <c r="A285" s="1">
        <v>7301</v>
      </c>
      <c r="B285" s="3">
        <f>VLOOKUP("h1-txc"&amp;"-"&amp;A285,[1]flota_lineas_tp!$A$1:$F$65536,6,FALSE)</f>
        <v>1.68</v>
      </c>
      <c r="D285" s="1">
        <v>7301</v>
      </c>
      <c r="E285" s="3">
        <f>VLOOKUP("h2-txc"&amp;"-"&amp;D285,[1]flota_lineas_tp!$A$1:$F$65536,6,FALSE)</f>
        <v>1.86</v>
      </c>
      <c r="G285" s="1">
        <v>7301</v>
      </c>
      <c r="H285" s="3">
        <f>VLOOKUP("txc"&amp;"-"&amp;G285,[2]flota_lineas_tp!$A$1:$D$2000,4,FALSE)</f>
        <v>3.43</v>
      </c>
      <c r="J285" s="1">
        <v>7301</v>
      </c>
      <c r="K285" s="1">
        <f>VLOOKUP("txc"&amp;"-"&amp;J285,[3]flota_lineas_tp!$A$1:$D$2000,4,FALSE)</f>
        <v>2.6</v>
      </c>
      <c r="M285" s="1">
        <v>7301</v>
      </c>
    </row>
    <row r="286" spans="1:13" x14ac:dyDescent="0.2">
      <c r="A286" s="1">
        <v>7302</v>
      </c>
      <c r="B286" s="3">
        <f>VLOOKUP("h1-txc"&amp;"-"&amp;A286,[1]flota_lineas_tp!$A$1:$F$65536,6,FALSE)</f>
        <v>4.3899999999999997</v>
      </c>
      <c r="D286" s="1">
        <v>7302</v>
      </c>
      <c r="E286" s="3">
        <f>VLOOKUP("h2-txc"&amp;"-"&amp;D286,[1]flota_lineas_tp!$A$1:$F$65536,6,FALSE)</f>
        <v>5.52</v>
      </c>
      <c r="G286" s="1">
        <v>7302</v>
      </c>
      <c r="H286" s="3">
        <f>VLOOKUP("txc"&amp;"-"&amp;G286,[2]flota_lineas_tp!$A$1:$D$2000,4,FALSE)</f>
        <v>2.2400000000000002</v>
      </c>
      <c r="J286" s="1">
        <v>7302</v>
      </c>
      <c r="K286" s="1">
        <f>VLOOKUP("txc"&amp;"-"&amp;J286,[3]flota_lineas_tp!$A$1:$D$2000,4,FALSE)</f>
        <v>0.38</v>
      </c>
      <c r="M286" s="1">
        <v>7302</v>
      </c>
    </row>
    <row r="287" spans="1:13" x14ac:dyDescent="0.2">
      <c r="A287" s="1">
        <v>7421</v>
      </c>
      <c r="B287" s="3">
        <f>VLOOKUP("h1-txc"&amp;"-"&amp;A287,[1]flota_lineas_tp!$A$1:$F$65536,6,FALSE)</f>
        <v>0.64</v>
      </c>
      <c r="D287" s="1">
        <v>7421</v>
      </c>
      <c r="E287" s="3">
        <f>VLOOKUP("h2-txc"&amp;"-"&amp;D287,[1]flota_lineas_tp!$A$1:$F$65536,6,FALSE)</f>
        <v>2.87</v>
      </c>
      <c r="G287" s="1">
        <v>7421</v>
      </c>
      <c r="H287" s="3">
        <f>VLOOKUP("txc"&amp;"-"&amp;G287,[2]flota_lineas_tp!$A$1:$D$2000,4,FALSE)</f>
        <v>0.43</v>
      </c>
      <c r="J287" s="1">
        <v>7421</v>
      </c>
      <c r="K287" s="1">
        <f>VLOOKUP("txc"&amp;"-"&amp;J287,[3]flota_lineas_tp!$A$1:$D$2000,4,FALSE)</f>
        <v>0.45</v>
      </c>
      <c r="M287" s="1">
        <v>7421</v>
      </c>
    </row>
    <row r="288" spans="1:13" x14ac:dyDescent="0.2">
      <c r="A288" s="1">
        <v>7422</v>
      </c>
      <c r="B288" s="3">
        <f>VLOOKUP("h1-txc"&amp;"-"&amp;A288,[1]flota_lineas_tp!$A$1:$F$65536,6,FALSE)</f>
        <v>7.08</v>
      </c>
      <c r="D288" s="1">
        <v>7422</v>
      </c>
      <c r="E288" s="3">
        <f>VLOOKUP("h2-txc"&amp;"-"&amp;D288,[1]flota_lineas_tp!$A$1:$F$65536,6,FALSE)</f>
        <v>0.81</v>
      </c>
      <c r="G288" s="1">
        <v>7422</v>
      </c>
      <c r="H288" s="3">
        <f>VLOOKUP("txc"&amp;"-"&amp;G288,[2]flota_lineas_tp!$A$1:$D$2000,4,FALSE)</f>
        <v>3.36</v>
      </c>
      <c r="J288" s="1">
        <v>7422</v>
      </c>
      <c r="K288" s="1">
        <f>VLOOKUP("txc"&amp;"-"&amp;J288,[3]flota_lineas_tp!$A$1:$D$2000,4,FALSE)</f>
        <v>0.37</v>
      </c>
      <c r="M288" s="1">
        <v>7422</v>
      </c>
    </row>
    <row r="289" spans="1:13" x14ac:dyDescent="0.2">
      <c r="A289" s="1">
        <v>7411</v>
      </c>
      <c r="B289" s="3">
        <f>VLOOKUP("h1-txc"&amp;"-"&amp;A289,[1]flota_lineas_tp!$A$1:$F$65536,6,FALSE)</f>
        <v>1.67</v>
      </c>
      <c r="D289" s="1">
        <v>7411</v>
      </c>
      <c r="E289" s="3">
        <f>VLOOKUP("h2-txc"&amp;"-"&amp;D289,[1]flota_lineas_tp!$A$1:$F$65536,6,FALSE)</f>
        <v>1.2</v>
      </c>
      <c r="G289" s="1">
        <v>7411</v>
      </c>
      <c r="H289" s="3">
        <f>VLOOKUP("txc"&amp;"-"&amp;G289,[2]flota_lineas_tp!$A$1:$D$2000,4,FALSE)</f>
        <v>0.82</v>
      </c>
      <c r="J289" s="1">
        <v>7411</v>
      </c>
      <c r="K289" s="1">
        <f>VLOOKUP("txc"&amp;"-"&amp;J289,[3]flota_lineas_tp!$A$1:$D$2000,4,FALSE)</f>
        <v>0.87</v>
      </c>
      <c r="M289" s="1">
        <v>7411</v>
      </c>
    </row>
    <row r="290" spans="1:13" x14ac:dyDescent="0.2">
      <c r="A290" s="1">
        <v>7412</v>
      </c>
      <c r="B290" s="3">
        <f>VLOOKUP("h1-txc"&amp;"-"&amp;A290,[1]flota_lineas_tp!$A$1:$F$65536,6,FALSE)</f>
        <v>0.71</v>
      </c>
      <c r="D290" s="1">
        <v>7412</v>
      </c>
      <c r="E290" s="3">
        <f>VLOOKUP("h2-txc"&amp;"-"&amp;D290,[1]flota_lineas_tp!$A$1:$F$65536,6,FALSE)</f>
        <v>1.84</v>
      </c>
      <c r="G290" s="1">
        <v>7412</v>
      </c>
      <c r="H290" s="3">
        <f>VLOOKUP("txc"&amp;"-"&amp;G290,[2]flota_lineas_tp!$A$1:$D$2000,4,FALSE)</f>
        <v>0.77</v>
      </c>
      <c r="J290" s="1">
        <v>7412</v>
      </c>
      <c r="K290" s="1">
        <f>VLOOKUP("txc"&amp;"-"&amp;J290,[3]flota_lineas_tp!$A$1:$D$2000,4,FALSE)</f>
        <v>1.02</v>
      </c>
      <c r="M290" s="1">
        <v>7412</v>
      </c>
    </row>
    <row r="291" spans="1:13" x14ac:dyDescent="0.2">
      <c r="A291" s="1">
        <v>7401</v>
      </c>
      <c r="B291" s="3">
        <f>VLOOKUP("h1-txc"&amp;"-"&amp;A291,[1]flota_lineas_tp!$A$1:$F$65536,6,FALSE)</f>
        <v>2.1</v>
      </c>
      <c r="D291" s="1">
        <v>7401</v>
      </c>
      <c r="E291" s="3">
        <f>VLOOKUP("h2-txc"&amp;"-"&amp;D291,[1]flota_lineas_tp!$A$1:$F$65536,6,FALSE)</f>
        <v>3.64</v>
      </c>
      <c r="G291" s="1">
        <v>7401</v>
      </c>
      <c r="H291" s="3">
        <f>VLOOKUP("txc"&amp;"-"&amp;G291,[2]flota_lineas_tp!$A$1:$D$2000,4,FALSE)</f>
        <v>5.71</v>
      </c>
      <c r="J291" s="1">
        <v>7401</v>
      </c>
      <c r="K291" s="1">
        <f>VLOOKUP("txc"&amp;"-"&amp;J291,[3]flota_lineas_tp!$A$1:$D$2000,4,FALSE)</f>
        <v>4.93</v>
      </c>
      <c r="M291" s="1">
        <v>7401</v>
      </c>
    </row>
    <row r="292" spans="1:13" x14ac:dyDescent="0.2">
      <c r="A292" s="1">
        <v>7402</v>
      </c>
      <c r="B292" s="3">
        <f>VLOOKUP("h1-txc"&amp;"-"&amp;A292,[1]flota_lineas_tp!$A$1:$F$65536,6,FALSE)</f>
        <v>0.39</v>
      </c>
      <c r="D292" s="1">
        <v>7402</v>
      </c>
      <c r="E292" s="3">
        <f>VLOOKUP("h2-txc"&amp;"-"&amp;D292,[1]flota_lineas_tp!$A$1:$F$65536,6,FALSE)</f>
        <v>11.08</v>
      </c>
      <c r="G292" s="1">
        <v>7402</v>
      </c>
      <c r="H292" s="3">
        <f>VLOOKUP("txc"&amp;"-"&amp;G292,[2]flota_lineas_tp!$A$1:$D$2000,4,FALSE)</f>
        <v>0.26</v>
      </c>
      <c r="J292" s="1">
        <v>7402</v>
      </c>
      <c r="K292" s="1">
        <f>VLOOKUP("txc"&amp;"-"&amp;J292,[3]flota_lineas_tp!$A$1:$D$2000,4,FALSE)</f>
        <v>7.27</v>
      </c>
      <c r="M292" s="1">
        <v>7402</v>
      </c>
    </row>
    <row r="293" spans="1:13" x14ac:dyDescent="0.2">
      <c r="A293" s="1">
        <v>7501</v>
      </c>
      <c r="B293" s="3">
        <f>VLOOKUP("h1-txc"&amp;"-"&amp;A293,[1]flota_lineas_tp!$A$1:$F$65536,6,FALSE)</f>
        <v>1.95</v>
      </c>
      <c r="D293" s="1">
        <v>7501</v>
      </c>
      <c r="E293" s="3">
        <f>VLOOKUP("h2-txc"&amp;"-"&amp;D293,[1]flota_lineas_tp!$A$1:$F$65536,6,FALSE)</f>
        <v>3.44</v>
      </c>
      <c r="G293" s="1">
        <v>7501</v>
      </c>
      <c r="H293" s="3">
        <f>VLOOKUP("txc"&amp;"-"&amp;G293,[2]flota_lineas_tp!$A$1:$D$2000,4,FALSE)</f>
        <v>4.38</v>
      </c>
      <c r="J293" s="1">
        <v>7501</v>
      </c>
      <c r="K293" s="1">
        <f>VLOOKUP("txc"&amp;"-"&amp;J293,[3]flota_lineas_tp!$A$1:$D$2000,4,FALSE)</f>
        <v>2.76</v>
      </c>
      <c r="M293" s="1">
        <v>7501</v>
      </c>
    </row>
    <row r="294" spans="1:13" x14ac:dyDescent="0.2">
      <c r="A294" s="1">
        <v>7502</v>
      </c>
      <c r="B294" s="3">
        <f>VLOOKUP("h1-txc"&amp;"-"&amp;A294,[1]flota_lineas_tp!$A$1:$F$65536,6,FALSE)</f>
        <v>0.25</v>
      </c>
      <c r="D294" s="1">
        <v>7502</v>
      </c>
      <c r="E294" s="3">
        <f>VLOOKUP("h2-txc"&amp;"-"&amp;D294,[1]flota_lineas_tp!$A$1:$F$65536,6,FALSE)</f>
        <v>2.63</v>
      </c>
      <c r="G294" s="1">
        <v>7502</v>
      </c>
      <c r="H294" s="3">
        <f>VLOOKUP("txc"&amp;"-"&amp;G294,[2]flota_lineas_tp!$A$1:$D$2000,4,FALSE)</f>
        <v>1.69</v>
      </c>
      <c r="J294" s="1">
        <v>7502</v>
      </c>
      <c r="K294" s="1">
        <f>VLOOKUP("txc"&amp;"-"&amp;J294,[3]flota_lineas_tp!$A$1:$D$2000,4,FALSE)</f>
        <v>1.53</v>
      </c>
      <c r="M294" s="1">
        <v>7502</v>
      </c>
    </row>
    <row r="295" spans="1:13" x14ac:dyDescent="0.2">
      <c r="A295" s="1">
        <v>7521</v>
      </c>
      <c r="B295" s="3">
        <f>VLOOKUP("h1-txc"&amp;"-"&amp;A295,[1]flota_lineas_tp!$A$1:$F$65536,6,FALSE)</f>
        <v>0.39</v>
      </c>
      <c r="D295" s="1">
        <v>7521</v>
      </c>
      <c r="E295" s="3">
        <f>VLOOKUP("h2-txc"&amp;"-"&amp;D295,[1]flota_lineas_tp!$A$1:$F$65536,6,FALSE)</f>
        <v>10.220000000000001</v>
      </c>
      <c r="G295" s="1">
        <v>7521</v>
      </c>
      <c r="H295" s="3">
        <f>VLOOKUP("txc"&amp;"-"&amp;G295,[2]flota_lineas_tp!$A$1:$D$2000,4,FALSE)</f>
        <v>1.1499999999999999</v>
      </c>
      <c r="J295" s="1">
        <v>7521</v>
      </c>
      <c r="K295" s="1">
        <f>VLOOKUP("txc"&amp;"-"&amp;J295,[3]flota_lineas_tp!$A$1:$D$2000,4,FALSE)</f>
        <v>4.6500000000000004</v>
      </c>
      <c r="M295" s="1">
        <v>7521</v>
      </c>
    </row>
    <row r="296" spans="1:13" x14ac:dyDescent="0.2">
      <c r="A296" s="1">
        <v>7522</v>
      </c>
      <c r="B296" s="3">
        <f>VLOOKUP("h1-txc"&amp;"-"&amp;A296,[1]flota_lineas_tp!$A$1:$F$65536,6,FALSE)</f>
        <v>0.24</v>
      </c>
      <c r="D296" s="1">
        <v>7522</v>
      </c>
      <c r="E296" s="3">
        <f>VLOOKUP("h2-txc"&amp;"-"&amp;D296,[1]flota_lineas_tp!$A$1:$F$65536,6,FALSE)</f>
        <v>5.32</v>
      </c>
      <c r="G296" s="1">
        <v>7522</v>
      </c>
      <c r="H296" s="3">
        <f>VLOOKUP("txc"&amp;"-"&amp;G296,[2]flota_lineas_tp!$A$1:$D$2000,4,FALSE)</f>
        <v>0.24</v>
      </c>
      <c r="J296" s="1">
        <v>7522</v>
      </c>
      <c r="K296" s="1">
        <f>VLOOKUP("txc"&amp;"-"&amp;J296,[3]flota_lineas_tp!$A$1:$D$2000,4,FALSE)</f>
        <v>7.89</v>
      </c>
      <c r="M296" s="1">
        <v>7522</v>
      </c>
    </row>
    <row r="297" spans="1:13" x14ac:dyDescent="0.2">
      <c r="A297" s="1">
        <v>7511</v>
      </c>
      <c r="B297" s="3">
        <f>VLOOKUP("h1-txc"&amp;"-"&amp;A297,[1]flota_lineas_tp!$A$1:$F$65536,6,FALSE)</f>
        <v>2.79</v>
      </c>
      <c r="D297" s="1">
        <v>7511</v>
      </c>
      <c r="E297" s="3">
        <f>VLOOKUP("h2-txc"&amp;"-"&amp;D297,[1]flota_lineas_tp!$A$1:$F$65536,6,FALSE)</f>
        <v>1.96</v>
      </c>
      <c r="G297" s="1">
        <v>7511</v>
      </c>
      <c r="H297" s="3">
        <f>VLOOKUP("txc"&amp;"-"&amp;G297,[2]flota_lineas_tp!$A$1:$D$2000,4,FALSE)</f>
        <v>0.91</v>
      </c>
      <c r="J297" s="1">
        <v>7511</v>
      </c>
      <c r="K297" s="1">
        <f>VLOOKUP("txc"&amp;"-"&amp;J297,[3]flota_lineas_tp!$A$1:$D$2000,4,FALSE)</f>
        <v>0.97</v>
      </c>
      <c r="M297" s="1">
        <v>7511</v>
      </c>
    </row>
    <row r="298" spans="1:13" x14ac:dyDescent="0.2">
      <c r="A298" s="1">
        <v>7512</v>
      </c>
      <c r="B298" s="3">
        <f>VLOOKUP("h1-txc"&amp;"-"&amp;A298,[1]flota_lineas_tp!$A$1:$F$65536,6,FALSE)</f>
        <v>0.72</v>
      </c>
      <c r="D298" s="1">
        <v>7512</v>
      </c>
      <c r="E298" s="3">
        <f>VLOOKUP("h2-txc"&amp;"-"&amp;D298,[1]flota_lineas_tp!$A$1:$F$65536,6,FALSE)</f>
        <v>3.43</v>
      </c>
      <c r="G298" s="1">
        <v>7512</v>
      </c>
      <c r="H298" s="3">
        <f>VLOOKUP("txc"&amp;"-"&amp;G298,[2]flota_lineas_tp!$A$1:$D$2000,4,FALSE)</f>
        <v>0.78</v>
      </c>
      <c r="J298" s="1">
        <v>7512</v>
      </c>
      <c r="K298" s="1">
        <f>VLOOKUP("txc"&amp;"-"&amp;J298,[3]flota_lineas_tp!$A$1:$D$2000,4,FALSE)</f>
        <v>1.03</v>
      </c>
      <c r="M298" s="1">
        <v>7512</v>
      </c>
    </row>
    <row r="299" spans="1:13" x14ac:dyDescent="0.2">
      <c r="A299" s="1">
        <v>7701</v>
      </c>
      <c r="B299" s="3">
        <f>VLOOKUP("h1-txc"&amp;"-"&amp;A299,[1]flota_lineas_tp!$A$1:$F$65536,6,FALSE)</f>
        <v>3.44</v>
      </c>
      <c r="D299" s="1">
        <v>7701</v>
      </c>
      <c r="E299" s="3">
        <f>VLOOKUP("h2-txc"&amp;"-"&amp;D299,[1]flota_lineas_tp!$A$1:$F$65536,6,FALSE)</f>
        <v>5.69</v>
      </c>
      <c r="G299" s="1">
        <v>7701</v>
      </c>
      <c r="H299" s="3">
        <f>VLOOKUP("txc"&amp;"-"&amp;G299,[2]flota_lineas_tp!$A$1:$D$2000,4,FALSE)</f>
        <v>4.7300000000000004</v>
      </c>
      <c r="J299" s="1">
        <v>7701</v>
      </c>
      <c r="K299" s="1">
        <f>VLOOKUP("txc"&amp;"-"&amp;J299,[3]flota_lineas_tp!$A$1:$D$2000,4,FALSE)</f>
        <v>12.8</v>
      </c>
      <c r="M299" s="1">
        <v>7701</v>
      </c>
    </row>
    <row r="300" spans="1:13" x14ac:dyDescent="0.2">
      <c r="A300" s="1">
        <v>7702</v>
      </c>
      <c r="B300" s="3">
        <f>VLOOKUP("h1-txc"&amp;"-"&amp;A300,[1]flota_lineas_tp!$A$1:$F$65536,6,FALSE)</f>
        <v>2.38</v>
      </c>
      <c r="D300" s="1">
        <v>7702</v>
      </c>
      <c r="E300" s="3">
        <f>VLOOKUP("h2-txc"&amp;"-"&amp;D300,[1]flota_lineas_tp!$A$1:$F$65536,6,FALSE)</f>
        <v>49.23</v>
      </c>
      <c r="G300" s="1">
        <v>7702</v>
      </c>
      <c r="H300" s="3">
        <f>VLOOKUP("txc"&amp;"-"&amp;G300,[2]flota_lineas_tp!$A$1:$D$2000,4,FALSE)</f>
        <v>12.85</v>
      </c>
      <c r="J300" s="1">
        <v>7702</v>
      </c>
      <c r="K300" s="1">
        <f>VLOOKUP("txc"&amp;"-"&amp;J300,[3]flota_lineas_tp!$A$1:$D$2000,4,FALSE)</f>
        <v>23.61</v>
      </c>
      <c r="M300" s="1">
        <v>7702</v>
      </c>
    </row>
    <row r="301" spans="1:13" x14ac:dyDescent="0.2">
      <c r="A301" s="1">
        <v>7711</v>
      </c>
      <c r="B301" s="3">
        <f>VLOOKUP("h1-txc"&amp;"-"&amp;A301,[1]flota_lineas_tp!$A$1:$F$65536,6,FALSE)</f>
        <v>0.83</v>
      </c>
      <c r="D301" s="1">
        <v>7711</v>
      </c>
      <c r="E301" s="3">
        <f>VLOOKUP("h2-txc"&amp;"-"&amp;D301,[1]flota_lineas_tp!$A$1:$F$65536,6,FALSE)</f>
        <v>1.19</v>
      </c>
      <c r="G301" s="1">
        <v>7711</v>
      </c>
      <c r="H301" s="3">
        <f>VLOOKUP("txc"&amp;"-"&amp;G301,[2]flota_lineas_tp!$A$1:$D$2000,4,FALSE)</f>
        <v>0.81</v>
      </c>
      <c r="J301" s="1">
        <v>7711</v>
      </c>
      <c r="K301" s="1">
        <f>VLOOKUP("txc"&amp;"-"&amp;J301,[3]flota_lineas_tp!$A$1:$D$2000,4,FALSE)</f>
        <v>0.86</v>
      </c>
      <c r="M301" s="1">
        <v>7711</v>
      </c>
    </row>
    <row r="302" spans="1:13" x14ac:dyDescent="0.2">
      <c r="A302" s="1">
        <v>7712</v>
      </c>
      <c r="B302" s="3">
        <f>VLOOKUP("h1-txc"&amp;"-"&amp;A302,[1]flota_lineas_tp!$A$1:$F$65536,6,FALSE)</f>
        <v>0.74</v>
      </c>
      <c r="D302" s="1">
        <v>7712</v>
      </c>
      <c r="E302" s="3">
        <f>VLOOKUP("h2-txc"&amp;"-"&amp;D302,[1]flota_lineas_tp!$A$1:$F$65536,6,FALSE)</f>
        <v>3.84</v>
      </c>
      <c r="G302" s="1">
        <v>7712</v>
      </c>
      <c r="H302" s="3">
        <f>VLOOKUP("txc"&amp;"-"&amp;G302,[2]flota_lineas_tp!$A$1:$D$2000,4,FALSE)</f>
        <v>0.8</v>
      </c>
      <c r="J302" s="1">
        <v>7712</v>
      </c>
      <c r="K302" s="1">
        <f>VLOOKUP("txc"&amp;"-"&amp;J302,[3]flota_lineas_tp!$A$1:$D$2000,4,FALSE)</f>
        <v>1.05</v>
      </c>
      <c r="M302" s="1">
        <v>7712</v>
      </c>
    </row>
    <row r="303" spans="1:13" x14ac:dyDescent="0.2">
      <c r="A303" s="1">
        <v>7721</v>
      </c>
      <c r="B303" s="3">
        <f>VLOOKUP("h1-txc"&amp;"-"&amp;A303,[1]flota_lineas_tp!$A$1:$F$65536,6,FALSE)</f>
        <v>0.28999999999999998</v>
      </c>
      <c r="D303" s="1">
        <v>7721</v>
      </c>
      <c r="E303" s="3">
        <f>VLOOKUP("h2-txc"&amp;"-"&amp;D303,[1]flota_lineas_tp!$A$1:$F$65536,6,FALSE)</f>
        <v>4.0199999999999996</v>
      </c>
      <c r="G303" s="1">
        <v>7721</v>
      </c>
      <c r="H303" s="3">
        <f>VLOOKUP("txc"&amp;"-"&amp;G303,[2]flota_lineas_tp!$A$1:$D$2000,4,FALSE)</f>
        <v>0.3</v>
      </c>
      <c r="J303" s="1">
        <v>7721</v>
      </c>
      <c r="K303" s="1">
        <f>VLOOKUP("txc"&amp;"-"&amp;J303,[3]flota_lineas_tp!$A$1:$D$2000,4,FALSE)</f>
        <v>0.3</v>
      </c>
      <c r="M303" s="1">
        <v>7721</v>
      </c>
    </row>
    <row r="304" spans="1:13" x14ac:dyDescent="0.2">
      <c r="A304" s="1">
        <v>7722</v>
      </c>
      <c r="B304" s="3">
        <f>VLOOKUP("h1-txc"&amp;"-"&amp;A304,[1]flota_lineas_tp!$A$1:$F$65536,6,FALSE)</f>
        <v>0.55000000000000004</v>
      </c>
      <c r="D304" s="1">
        <v>7722</v>
      </c>
      <c r="E304" s="3">
        <f>VLOOKUP("h2-txc"&amp;"-"&amp;D304,[1]flota_lineas_tp!$A$1:$F$65536,6,FALSE)</f>
        <v>1.47</v>
      </c>
      <c r="G304" s="1">
        <v>7722</v>
      </c>
      <c r="H304" s="3">
        <f>VLOOKUP("txc"&amp;"-"&amp;G304,[2]flota_lineas_tp!$A$1:$D$2000,4,FALSE)</f>
        <v>0.27</v>
      </c>
      <c r="J304" s="1">
        <v>7722</v>
      </c>
      <c r="K304" s="1">
        <f>VLOOKUP("txc"&amp;"-"&amp;J304,[3]flota_lineas_tp!$A$1:$D$2000,4,FALSE)</f>
        <v>0.27</v>
      </c>
      <c r="M304" s="1">
        <v>7722</v>
      </c>
    </row>
    <row r="305" spans="1:13" x14ac:dyDescent="0.2">
      <c r="A305" s="1">
        <v>7801</v>
      </c>
      <c r="B305" s="3">
        <f>VLOOKUP("h1-txc"&amp;"-"&amp;A305,[1]flota_lineas_tp!$A$1:$F$65536,6,FALSE)</f>
        <v>12.55</v>
      </c>
      <c r="D305" s="1">
        <v>7801</v>
      </c>
      <c r="E305" s="3">
        <f>VLOOKUP("h2-txc"&amp;"-"&amp;D305,[1]flota_lineas_tp!$A$1:$F$65536,6,FALSE)</f>
        <v>21.76</v>
      </c>
      <c r="G305" s="1">
        <v>7801</v>
      </c>
      <c r="H305" s="3">
        <f>VLOOKUP("txc"&amp;"-"&amp;G305,[2]flota_lineas_tp!$A$1:$D$2000,4,FALSE)</f>
        <v>4.79</v>
      </c>
      <c r="J305" s="1">
        <v>7801</v>
      </c>
      <c r="K305" s="1">
        <f>VLOOKUP("txc"&amp;"-"&amp;J305,[3]flota_lineas_tp!$A$1:$D$2000,4,FALSE)</f>
        <v>4</v>
      </c>
      <c r="M305" s="1">
        <v>7801</v>
      </c>
    </row>
    <row r="306" spans="1:13" x14ac:dyDescent="0.2">
      <c r="A306" s="1">
        <v>7802</v>
      </c>
      <c r="B306" s="3">
        <f>VLOOKUP("h1-txc"&amp;"-"&amp;A306,[1]flota_lineas_tp!$A$1:$F$65536,6,FALSE)</f>
        <v>0.53</v>
      </c>
      <c r="D306" s="1">
        <v>7802</v>
      </c>
      <c r="E306" s="3">
        <f>VLOOKUP("h2-txc"&amp;"-"&amp;D306,[1]flota_lineas_tp!$A$1:$F$65536,6,FALSE)</f>
        <v>0.28000000000000003</v>
      </c>
      <c r="G306" s="1">
        <v>7802</v>
      </c>
      <c r="H306" s="3">
        <f>VLOOKUP("txc"&amp;"-"&amp;G306,[2]flota_lineas_tp!$A$1:$D$2000,4,FALSE)</f>
        <v>0.26</v>
      </c>
      <c r="J306" s="1">
        <v>7802</v>
      </c>
      <c r="K306" s="1">
        <f>VLOOKUP("txc"&amp;"-"&amp;J306,[3]flota_lineas_tp!$A$1:$D$2000,4,FALSE)</f>
        <v>0.33</v>
      </c>
      <c r="M306" s="1">
        <v>7802</v>
      </c>
    </row>
    <row r="307" spans="1:13" x14ac:dyDescent="0.2">
      <c r="A307" s="1">
        <v>731</v>
      </c>
      <c r="B307" s="3">
        <f>VLOOKUP("h1-txc"&amp;"-"&amp;A307,[1]flota_lineas_tp!$A$1:$F$65536,6,FALSE)</f>
        <v>0.32</v>
      </c>
      <c r="D307" s="1">
        <v>731</v>
      </c>
      <c r="E307" s="3">
        <f>VLOOKUP("h2-txc"&amp;"-"&amp;D307,[1]flota_lineas_tp!$A$1:$F$65536,6,FALSE)</f>
        <v>7.48</v>
      </c>
      <c r="G307" s="1">
        <v>731</v>
      </c>
      <c r="H307" s="3">
        <f>VLOOKUP("txc"&amp;"-"&amp;G307,[2]flota_lineas_tp!$A$1:$D$2000,4,FALSE)</f>
        <v>4.07</v>
      </c>
      <c r="J307" s="1">
        <v>731</v>
      </c>
      <c r="K307" s="1">
        <f>VLOOKUP("txc"&amp;"-"&amp;J307,[3]flota_lineas_tp!$A$1:$D$2000,4,FALSE)</f>
        <v>1.06</v>
      </c>
      <c r="M307" s="1">
        <v>731</v>
      </c>
    </row>
    <row r="308" spans="1:13" x14ac:dyDescent="0.2">
      <c r="A308" s="1">
        <v>732</v>
      </c>
      <c r="B308" s="3">
        <f>VLOOKUP("h1-txc"&amp;"-"&amp;A308,[1]flota_lineas_tp!$A$1:$F$65536,6,FALSE)</f>
        <v>0.34</v>
      </c>
      <c r="D308" s="1">
        <v>732</v>
      </c>
      <c r="E308" s="3">
        <f>VLOOKUP("h2-txc"&amp;"-"&amp;D308,[1]flota_lineas_tp!$A$1:$F$65536,6,FALSE)</f>
        <v>0.45</v>
      </c>
      <c r="G308" s="1">
        <v>732</v>
      </c>
      <c r="H308" s="3">
        <f>VLOOKUP("txc"&amp;"-"&amp;G308,[2]flota_lineas_tp!$A$1:$D$2000,4,FALSE)</f>
        <v>0.62</v>
      </c>
      <c r="J308" s="1">
        <v>732</v>
      </c>
      <c r="K308" s="1">
        <f>VLOOKUP("txc"&amp;"-"&amp;J308,[3]flota_lineas_tp!$A$1:$D$2000,4,FALSE)</f>
        <v>0.37</v>
      </c>
      <c r="M308" s="1">
        <v>732</v>
      </c>
    </row>
    <row r="309" spans="1:13" x14ac:dyDescent="0.2">
      <c r="A309" s="1">
        <v>741</v>
      </c>
      <c r="B309" s="3">
        <f>VLOOKUP("h1-txc"&amp;"-"&amp;A309,[1]flota_lineas_tp!$A$1:$F$65536,6,FALSE)</f>
        <v>0.31</v>
      </c>
      <c r="D309" s="1">
        <v>741</v>
      </c>
      <c r="E309" s="3">
        <f>VLOOKUP("h2-txc"&amp;"-"&amp;D309,[1]flota_lineas_tp!$A$1:$F$65536,6,FALSE)</f>
        <v>2.42</v>
      </c>
      <c r="G309" s="1">
        <v>741</v>
      </c>
      <c r="H309" s="3">
        <f>VLOOKUP("txc"&amp;"-"&amp;G309,[2]flota_lineas_tp!$A$1:$D$2000,4,FALSE)</f>
        <v>0.32</v>
      </c>
      <c r="J309" s="1">
        <v>741</v>
      </c>
      <c r="K309" s="1">
        <f>VLOOKUP("txc"&amp;"-"&amp;J309,[3]flota_lineas_tp!$A$1:$D$2000,4,FALSE)</f>
        <v>1.01</v>
      </c>
      <c r="M309" s="1">
        <v>741</v>
      </c>
    </row>
    <row r="310" spans="1:13" x14ac:dyDescent="0.2">
      <c r="A310" s="1">
        <v>742</v>
      </c>
      <c r="B310" s="3">
        <f>VLOOKUP("h1-txc"&amp;"-"&amp;A310,[1]flota_lineas_tp!$A$1:$F$65536,6,FALSE)</f>
        <v>0.41</v>
      </c>
      <c r="D310" s="1">
        <v>742</v>
      </c>
      <c r="E310" s="3">
        <f>VLOOKUP("h2-txc"&amp;"-"&amp;D310,[1]flota_lineas_tp!$A$1:$F$65536,6,FALSE)</f>
        <v>1.07</v>
      </c>
      <c r="G310" s="1">
        <v>742</v>
      </c>
      <c r="H310" s="3">
        <f>VLOOKUP("txc"&amp;"-"&amp;G310,[2]flota_lineas_tp!$A$1:$D$2000,4,FALSE)</f>
        <v>0.79</v>
      </c>
      <c r="J310" s="1">
        <v>742</v>
      </c>
      <c r="K310" s="1">
        <f>VLOOKUP("txc"&amp;"-"&amp;J310,[3]flota_lineas_tp!$A$1:$D$2000,4,FALSE)</f>
        <v>0.45</v>
      </c>
      <c r="M310" s="1">
        <v>742</v>
      </c>
    </row>
    <row r="311" spans="1:13" x14ac:dyDescent="0.2">
      <c r="A311" s="1">
        <v>802</v>
      </c>
      <c r="B311" s="3">
        <f>VLOOKUP("h1-txc"&amp;"-"&amp;A311,[1]flota_lineas_tp!$A$1:$F$65536,6,FALSE)</f>
        <v>0.71</v>
      </c>
      <c r="D311" s="1">
        <v>802</v>
      </c>
      <c r="E311" s="3">
        <f>VLOOKUP("h2-txc"&amp;"-"&amp;D311,[1]flota_lineas_tp!$A$1:$F$65536,6,FALSE)</f>
        <v>0.3</v>
      </c>
      <c r="G311" s="1">
        <v>802</v>
      </c>
      <c r="H311" s="3">
        <f>VLOOKUP("txc"&amp;"-"&amp;G311,[2]flota_lineas_tp!$A$1:$D$2000,4,FALSE)</f>
        <v>6.43</v>
      </c>
      <c r="J311" s="1">
        <v>802</v>
      </c>
      <c r="K311" s="1">
        <f>VLOOKUP("txc"&amp;"-"&amp;J311,[3]flota_lineas_tp!$A$1:$D$2000,4,FALSE)</f>
        <v>1.37</v>
      </c>
      <c r="M311" s="1">
        <v>802</v>
      </c>
    </row>
    <row r="312" spans="1:13" x14ac:dyDescent="0.2">
      <c r="A312" s="1">
        <v>811</v>
      </c>
      <c r="B312" s="3">
        <f>VLOOKUP("h1-txc"&amp;"-"&amp;A312,[1]flota_lineas_tp!$A$1:$F$65536,6,FALSE)</f>
        <v>7.58</v>
      </c>
      <c r="D312" s="1">
        <v>811</v>
      </c>
      <c r="E312" s="3">
        <f>VLOOKUP("h2-txc"&amp;"-"&amp;D312,[1]flota_lineas_tp!$A$1:$F$65536,6,FALSE)</f>
        <v>19.510000000000002</v>
      </c>
      <c r="G312" s="1">
        <v>811</v>
      </c>
      <c r="H312" s="3">
        <f>VLOOKUP("txc"&amp;"-"&amp;G312,[2]flota_lineas_tp!$A$1:$D$2000,4,FALSE)</f>
        <v>5.76</v>
      </c>
      <c r="J312" s="1">
        <v>811</v>
      </c>
      <c r="K312" s="1">
        <f>VLOOKUP("txc"&amp;"-"&amp;J312,[3]flota_lineas_tp!$A$1:$D$2000,4,FALSE)</f>
        <v>3.42</v>
      </c>
      <c r="M312" s="1">
        <v>811</v>
      </c>
    </row>
    <row r="313" spans="1:13" x14ac:dyDescent="0.2">
      <c r="A313" s="1">
        <v>812</v>
      </c>
      <c r="B313" s="3">
        <f>VLOOKUP("h1-txc"&amp;"-"&amp;A313,[1]flota_lineas_tp!$A$1:$F$65536,6,FALSE)</f>
        <v>2.86</v>
      </c>
      <c r="D313" s="1">
        <v>812</v>
      </c>
      <c r="E313" s="3">
        <f>VLOOKUP("h2-txc"&amp;"-"&amp;D313,[1]flota_lineas_tp!$A$1:$F$65536,6,FALSE)</f>
        <v>0.31</v>
      </c>
      <c r="G313" s="1">
        <v>812</v>
      </c>
      <c r="H313" s="3">
        <f>VLOOKUP("txc"&amp;"-"&amp;G313,[2]flota_lineas_tp!$A$1:$D$2000,4,FALSE)</f>
        <v>0.27</v>
      </c>
      <c r="J313" s="1">
        <v>812</v>
      </c>
      <c r="K313" s="1">
        <f>VLOOKUP("txc"&amp;"-"&amp;J313,[3]flota_lineas_tp!$A$1:$D$2000,4,FALSE)</f>
        <v>0.27</v>
      </c>
      <c r="M313" s="1">
        <v>812</v>
      </c>
    </row>
    <row r="314" spans="1:13" x14ac:dyDescent="0.2">
      <c r="A314" s="1">
        <v>8001</v>
      </c>
      <c r="B314" s="3">
        <f>VLOOKUP("h1-txc"&amp;"-"&amp;A314,[1]flota_lineas_tp!$A$1:$F$65536,6,FALSE)</f>
        <v>1.1399999999999999</v>
      </c>
      <c r="D314" s="1">
        <v>8001</v>
      </c>
      <c r="E314" s="3">
        <f>VLOOKUP("h2-txc"&amp;"-"&amp;D314,[1]flota_lineas_tp!$A$1:$F$65536,6,FALSE)</f>
        <v>2.09</v>
      </c>
      <c r="G314" s="1">
        <v>8001</v>
      </c>
      <c r="H314" s="3">
        <f>VLOOKUP("txc"&amp;"-"&amp;G314,[2]flota_lineas_tp!$A$1:$D$2000,4,FALSE)</f>
        <v>2.97</v>
      </c>
      <c r="J314" s="1">
        <v>8001</v>
      </c>
      <c r="K314" s="1">
        <f>VLOOKUP("txc"&amp;"-"&amp;J314,[3]flota_lineas_tp!$A$1:$D$2000,4,FALSE)</f>
        <v>2.68</v>
      </c>
      <c r="M314" s="1">
        <v>8001</v>
      </c>
    </row>
    <row r="315" spans="1:13" x14ac:dyDescent="0.2">
      <c r="A315" s="1">
        <v>8002</v>
      </c>
      <c r="B315" s="3">
        <f>VLOOKUP("h1-txc"&amp;"-"&amp;A315,[1]flota_lineas_tp!$A$1:$F$65536,6,FALSE)</f>
        <v>0.32</v>
      </c>
      <c r="D315" s="1">
        <v>8002</v>
      </c>
      <c r="E315" s="3">
        <f>VLOOKUP("h2-txc"&amp;"-"&amp;D315,[1]flota_lineas_tp!$A$1:$F$65536,6,FALSE)</f>
        <v>7.43</v>
      </c>
      <c r="G315" s="1">
        <v>8002</v>
      </c>
      <c r="H315" s="3">
        <f>VLOOKUP("txc"&amp;"-"&amp;G315,[2]flota_lineas_tp!$A$1:$D$2000,4,FALSE)</f>
        <v>7.35</v>
      </c>
      <c r="J315" s="1">
        <v>8002</v>
      </c>
      <c r="K315" s="1">
        <f>VLOOKUP("txc"&amp;"-"&amp;J315,[3]flota_lineas_tp!$A$1:$D$2000,4,FALSE)</f>
        <v>6.04</v>
      </c>
      <c r="M315" s="1">
        <v>8002</v>
      </c>
    </row>
    <row r="316" spans="1:13" x14ac:dyDescent="0.2">
      <c r="A316" s="1">
        <v>8201</v>
      </c>
      <c r="B316" s="3">
        <f>VLOOKUP("h1-txc"&amp;"-"&amp;A316,[1]flota_lineas_tp!$A$1:$F$65536,6,FALSE)</f>
        <v>0.54</v>
      </c>
      <c r="D316" s="1">
        <v>8201</v>
      </c>
      <c r="E316" s="3">
        <f>VLOOKUP("h2-txc"&amp;"-"&amp;D316,[1]flota_lineas_tp!$A$1:$F$65536,6,FALSE)</f>
        <v>0.69</v>
      </c>
      <c r="G316" s="1">
        <v>8201</v>
      </c>
      <c r="H316" s="3">
        <f>VLOOKUP("txc"&amp;"-"&amp;G316,[2]flota_lineas_tp!$A$1:$D$2000,4,FALSE)</f>
        <v>0.55000000000000004</v>
      </c>
      <c r="J316" s="1">
        <v>8201</v>
      </c>
      <c r="K316" s="1">
        <f>VLOOKUP("txc"&amp;"-"&amp;J316,[3]flota_lineas_tp!$A$1:$D$2000,4,FALSE)</f>
        <v>10.19</v>
      </c>
      <c r="M316" s="1">
        <v>8201</v>
      </c>
    </row>
    <row r="317" spans="1:13" x14ac:dyDescent="0.2">
      <c r="A317" s="1">
        <v>8202</v>
      </c>
      <c r="B317" s="3">
        <f>VLOOKUP("h1-txc"&amp;"-"&amp;A317,[1]flota_lineas_tp!$A$1:$F$65536,6,FALSE)</f>
        <v>0.53</v>
      </c>
      <c r="D317" s="1">
        <v>8202</v>
      </c>
      <c r="E317" s="3">
        <f>VLOOKUP("h2-txc"&amp;"-"&amp;D317,[1]flota_lineas_tp!$A$1:$F$65536,6,FALSE)</f>
        <v>6.98</v>
      </c>
      <c r="G317" s="1">
        <v>8202</v>
      </c>
      <c r="H317" s="3">
        <f>VLOOKUP("txc"&amp;"-"&amp;G317,[2]flota_lineas_tp!$A$1:$D$2000,4,FALSE)</f>
        <v>5.62</v>
      </c>
      <c r="J317" s="1">
        <v>8202</v>
      </c>
      <c r="K317" s="1">
        <f>VLOOKUP("txc"&amp;"-"&amp;J317,[3]flota_lineas_tp!$A$1:$D$2000,4,FALSE)</f>
        <v>12.39</v>
      </c>
      <c r="M317" s="1">
        <v>8202</v>
      </c>
    </row>
    <row r="318" spans="1:13" x14ac:dyDescent="0.2">
      <c r="A318" s="1">
        <v>8301</v>
      </c>
      <c r="B318" s="3">
        <f>VLOOKUP("h1-txc"&amp;"-"&amp;A318,[1]flota_lineas_tp!$A$1:$F$65536,6,FALSE)</f>
        <v>3.32</v>
      </c>
      <c r="D318" s="1">
        <v>8301</v>
      </c>
      <c r="E318" s="3">
        <f>VLOOKUP("h2-txc"&amp;"-"&amp;D318,[1]flota_lineas_tp!$A$1:$F$65536,6,FALSE)</f>
        <v>19.600000000000001</v>
      </c>
      <c r="G318" s="1">
        <v>8301</v>
      </c>
      <c r="H318" s="3">
        <f>VLOOKUP("txc"&amp;"-"&amp;G318,[2]flota_lineas_tp!$A$1:$D$2000,4,FALSE)</f>
        <v>6.59</v>
      </c>
      <c r="J318" s="1">
        <v>8301</v>
      </c>
      <c r="K318" s="1">
        <f>VLOOKUP("txc"&amp;"-"&amp;J318,[3]flota_lineas_tp!$A$1:$D$2000,4,FALSE)</f>
        <v>10.45</v>
      </c>
      <c r="M318" s="1">
        <v>8301</v>
      </c>
    </row>
    <row r="319" spans="1:13" x14ac:dyDescent="0.2">
      <c r="A319" s="1">
        <v>8302</v>
      </c>
      <c r="B319" s="3">
        <f>VLOOKUP("h1-txc"&amp;"-"&amp;A319,[1]flota_lineas_tp!$A$1:$F$65536,6,FALSE)</f>
        <v>0.33</v>
      </c>
      <c r="D319" s="1">
        <v>8302</v>
      </c>
      <c r="E319" s="3">
        <f>VLOOKUP("h2-txc"&amp;"-"&amp;D319,[1]flota_lineas_tp!$A$1:$F$65536,6,FALSE)</f>
        <v>2.19</v>
      </c>
      <c r="G319" s="1">
        <v>8302</v>
      </c>
      <c r="H319" s="3">
        <f>VLOOKUP("txc"&amp;"-"&amp;G319,[2]flota_lineas_tp!$A$1:$D$2000,4,FALSE)</f>
        <v>0.36</v>
      </c>
      <c r="J319" s="1">
        <v>8302</v>
      </c>
      <c r="K319" s="1">
        <f>VLOOKUP("txc"&amp;"-"&amp;J319,[3]flota_lineas_tp!$A$1:$D$2000,4,FALSE)</f>
        <v>12.46</v>
      </c>
      <c r="M319" s="1">
        <v>8302</v>
      </c>
    </row>
    <row r="320" spans="1:13" x14ac:dyDescent="0.2">
      <c r="A320" s="1">
        <v>8611</v>
      </c>
      <c r="B320" s="3">
        <f>VLOOKUP("h1-txc"&amp;"-"&amp;A320,[1]flota_lineas_tp!$A$1:$F$65536,6,FALSE)</f>
        <v>0.56000000000000005</v>
      </c>
      <c r="D320" s="1">
        <v>8611</v>
      </c>
      <c r="E320" s="3">
        <f>VLOOKUP("h2-txc"&amp;"-"&amp;D320,[1]flota_lineas_tp!$A$1:$F$65536,6,FALSE)</f>
        <v>0.82</v>
      </c>
      <c r="G320" s="1">
        <v>8611</v>
      </c>
      <c r="H320" s="3">
        <f>VLOOKUP("txc"&amp;"-"&amp;G320,[2]flota_lineas_tp!$A$1:$D$2000,4,FALSE)</f>
        <v>0.56000000000000005</v>
      </c>
      <c r="J320" s="1">
        <v>8611</v>
      </c>
      <c r="K320" s="1">
        <f>VLOOKUP("txc"&amp;"-"&amp;J320,[3]flota_lineas_tp!$A$1:$D$2000,4,FALSE)</f>
        <v>3.67</v>
      </c>
      <c r="M320" s="1">
        <v>8611</v>
      </c>
    </row>
    <row r="321" spans="1:13" x14ac:dyDescent="0.2">
      <c r="A321" s="1">
        <v>8612</v>
      </c>
      <c r="B321" s="3">
        <f>VLOOKUP("h1-txc"&amp;"-"&amp;A321,[1]flota_lineas_tp!$A$1:$F$65536,6,FALSE)</f>
        <v>0.49</v>
      </c>
      <c r="D321" s="1">
        <v>8612</v>
      </c>
      <c r="E321" s="3">
        <f>VLOOKUP("h2-txc"&amp;"-"&amp;D321,[1]flota_lineas_tp!$A$1:$F$65536,6,FALSE)</f>
        <v>1.99</v>
      </c>
      <c r="G321" s="1">
        <v>8612</v>
      </c>
      <c r="H321" s="3">
        <f>VLOOKUP("txc"&amp;"-"&amp;G321,[2]flota_lineas_tp!$A$1:$D$2000,4,FALSE)</f>
        <v>0.52</v>
      </c>
      <c r="J321" s="1">
        <v>8612</v>
      </c>
      <c r="K321" s="1">
        <f>VLOOKUP("txc"&amp;"-"&amp;J321,[3]flota_lineas_tp!$A$1:$D$2000,4,FALSE)</f>
        <v>9.93</v>
      </c>
      <c r="M321" s="1">
        <v>8612</v>
      </c>
    </row>
    <row r="322" spans="1:13" x14ac:dyDescent="0.2">
      <c r="A322" s="1">
        <v>8621</v>
      </c>
      <c r="B322" s="3">
        <f>VLOOKUP("h1-txc"&amp;"-"&amp;A322,[1]flota_lineas_tp!$A$1:$F$65536,6,FALSE)</f>
        <v>26.4</v>
      </c>
      <c r="D322" s="1">
        <v>8621</v>
      </c>
      <c r="E322" s="3">
        <f>VLOOKUP("h2-txc"&amp;"-"&amp;D322,[1]flota_lineas_tp!$A$1:$F$65536,6,FALSE)</f>
        <v>5.93</v>
      </c>
      <c r="G322" s="1">
        <v>8621</v>
      </c>
      <c r="H322" s="3">
        <f>VLOOKUP("txc"&amp;"-"&amp;G322,[2]flota_lineas_tp!$A$1:$D$2000,4,FALSE)</f>
        <v>5.09</v>
      </c>
      <c r="J322" s="1">
        <v>8621</v>
      </c>
      <c r="K322" s="1">
        <f>VLOOKUP("txc"&amp;"-"&amp;J322,[3]flota_lineas_tp!$A$1:$D$2000,4,FALSE)</f>
        <v>10.41</v>
      </c>
      <c r="M322" s="1">
        <v>8621</v>
      </c>
    </row>
    <row r="323" spans="1:13" x14ac:dyDescent="0.2">
      <c r="A323" s="1">
        <v>8622</v>
      </c>
      <c r="B323" s="3">
        <f>VLOOKUP("h1-txc"&amp;"-"&amp;A323,[1]flota_lineas_tp!$A$1:$F$65536,6,FALSE)</f>
        <v>1.85</v>
      </c>
      <c r="D323" s="1">
        <v>8622</v>
      </c>
      <c r="E323" s="3">
        <f>VLOOKUP("h2-txc"&amp;"-"&amp;D323,[1]flota_lineas_tp!$A$1:$F$65536,6,FALSE)</f>
        <v>1.55</v>
      </c>
      <c r="G323" s="1">
        <v>8622</v>
      </c>
      <c r="H323" s="3">
        <f>VLOOKUP("txc"&amp;"-"&amp;G323,[2]flota_lineas_tp!$A$1:$D$2000,4,FALSE)</f>
        <v>7.12</v>
      </c>
      <c r="J323" s="1">
        <v>8622</v>
      </c>
      <c r="K323" s="1">
        <f>VLOOKUP("txc"&amp;"-"&amp;J323,[3]flota_lineas_tp!$A$1:$D$2000,4,FALSE)</f>
        <v>16.63</v>
      </c>
      <c r="M323" s="1">
        <v>8622</v>
      </c>
    </row>
    <row r="324" spans="1:13" x14ac:dyDescent="0.2">
      <c r="A324" s="1">
        <v>8701</v>
      </c>
      <c r="B324" s="3">
        <f>VLOOKUP("h1-txc"&amp;"-"&amp;A324,[1]flota_lineas_tp!$A$1:$F$65536,6,FALSE)</f>
        <v>22.8</v>
      </c>
      <c r="D324" s="1">
        <v>8701</v>
      </c>
      <c r="E324" s="3">
        <f>VLOOKUP("h2-txc"&amp;"-"&amp;D324,[1]flota_lineas_tp!$A$1:$F$65536,6,FALSE)</f>
        <v>48.12</v>
      </c>
      <c r="G324" s="1">
        <v>8701</v>
      </c>
      <c r="H324" s="3">
        <f>VLOOKUP("txc"&amp;"-"&amp;G324,[2]flota_lineas_tp!$A$1:$D$2000,4,FALSE)</f>
        <v>4.0199999999999996</v>
      </c>
      <c r="J324" s="1">
        <v>8701</v>
      </c>
      <c r="K324" s="1">
        <f>VLOOKUP("txc"&amp;"-"&amp;J324,[3]flota_lineas_tp!$A$1:$D$2000,4,FALSE)</f>
        <v>0.45</v>
      </c>
      <c r="M324" s="1">
        <v>8701</v>
      </c>
    </row>
    <row r="325" spans="1:13" x14ac:dyDescent="0.2">
      <c r="A325" s="1">
        <v>8711</v>
      </c>
      <c r="B325" s="3">
        <f>VLOOKUP("h1-txc"&amp;"-"&amp;A325,[1]flota_lineas_tp!$A$1:$F$65536,6,FALSE)</f>
        <v>5.55</v>
      </c>
      <c r="D325" s="1">
        <v>8711</v>
      </c>
      <c r="E325" s="3">
        <f>VLOOKUP("h2-txc"&amp;"-"&amp;D325,[1]flota_lineas_tp!$A$1:$F$65536,6,FALSE)</f>
        <v>19.03</v>
      </c>
      <c r="G325" s="1">
        <v>8711</v>
      </c>
      <c r="H325" s="3">
        <f>VLOOKUP("txc"&amp;"-"&amp;G325,[2]flota_lineas_tp!$A$1:$D$2000,4,FALSE)</f>
        <v>3.04</v>
      </c>
      <c r="J325" s="1">
        <v>8711</v>
      </c>
      <c r="K325" s="1">
        <f>VLOOKUP("txc"&amp;"-"&amp;J325,[3]flota_lineas_tp!$A$1:$D$2000,4,FALSE)</f>
        <v>10.08</v>
      </c>
      <c r="M325" s="1">
        <v>8711</v>
      </c>
    </row>
    <row r="326" spans="1:13" x14ac:dyDescent="0.2">
      <c r="A326" s="1">
        <v>8712</v>
      </c>
      <c r="B326" s="3">
        <f>VLOOKUP("h1-txc"&amp;"-"&amp;A326,[1]flota_lineas_tp!$A$1:$F$65536,6,FALSE)</f>
        <v>0.31</v>
      </c>
      <c r="D326" s="1">
        <v>8712</v>
      </c>
      <c r="E326" s="3">
        <f>VLOOKUP("h2-txc"&amp;"-"&amp;D326,[1]flota_lineas_tp!$A$1:$F$65536,6,FALSE)</f>
        <v>9.41</v>
      </c>
      <c r="G326" s="1">
        <v>8712</v>
      </c>
      <c r="H326" s="3">
        <f>VLOOKUP("txc"&amp;"-"&amp;G326,[2]flota_lineas_tp!$A$1:$D$2000,4,FALSE)</f>
        <v>6.88</v>
      </c>
      <c r="J326" s="1">
        <v>8712</v>
      </c>
      <c r="K326" s="1">
        <f>VLOOKUP("txc"&amp;"-"&amp;J326,[3]flota_lineas_tp!$A$1:$D$2000,4,FALSE)</f>
        <v>20.07</v>
      </c>
      <c r="M326" s="1">
        <v>8712</v>
      </c>
    </row>
    <row r="327" spans="1:13" x14ac:dyDescent="0.2">
      <c r="A327" s="1">
        <v>8901</v>
      </c>
      <c r="B327" s="3">
        <f>VLOOKUP("h1-txc"&amp;"-"&amp;A327,[1]flota_lineas_tp!$A$1:$F$65536,6,FALSE)</f>
        <v>1.47</v>
      </c>
      <c r="D327" s="1">
        <v>8901</v>
      </c>
      <c r="E327" s="3">
        <f>VLOOKUP("h2-txc"&amp;"-"&amp;D327,[1]flota_lineas_tp!$A$1:$F$65536,6,FALSE)</f>
        <v>0.38</v>
      </c>
      <c r="G327" s="1">
        <v>8901</v>
      </c>
      <c r="H327" s="3">
        <f>VLOOKUP("txc"&amp;"-"&amp;G327,[2]flota_lineas_tp!$A$1:$D$2000,4,FALSE)</f>
        <v>0.31</v>
      </c>
      <c r="J327" s="1">
        <v>8901</v>
      </c>
      <c r="K327" s="1">
        <f>VLOOKUP("txc"&amp;"-"&amp;J327,[3]flota_lineas_tp!$A$1:$D$2000,4,FALSE)</f>
        <v>0.34</v>
      </c>
      <c r="M327" s="1">
        <v>8901</v>
      </c>
    </row>
    <row r="328" spans="1:13" x14ac:dyDescent="0.2">
      <c r="A328" s="1">
        <v>8902</v>
      </c>
      <c r="B328" s="3">
        <f>VLOOKUP("h1-txc"&amp;"-"&amp;A328,[1]flota_lineas_tp!$A$1:$F$65536,6,FALSE)</f>
        <v>0.33</v>
      </c>
      <c r="D328" s="1">
        <v>8902</v>
      </c>
      <c r="E328" s="3">
        <f>VLOOKUP("h2-txc"&amp;"-"&amp;D328,[1]flota_lineas_tp!$A$1:$F$65536,6,FALSE)</f>
        <v>0.45</v>
      </c>
      <c r="G328" s="1">
        <v>8902</v>
      </c>
      <c r="H328" s="3">
        <f>VLOOKUP("txc"&amp;"-"&amp;G328,[2]flota_lineas_tp!$A$1:$D$2000,4,FALSE)</f>
        <v>0.76</v>
      </c>
      <c r="J328" s="1">
        <v>8902</v>
      </c>
      <c r="K328" s="1">
        <f>VLOOKUP("txc"&amp;"-"&amp;J328,[3]flota_lineas_tp!$A$1:$D$2000,4,FALSE)</f>
        <v>0.37</v>
      </c>
      <c r="M328" s="1">
        <v>8902</v>
      </c>
    </row>
    <row r="329" spans="1:13" x14ac:dyDescent="0.2">
      <c r="A329" s="1">
        <v>901</v>
      </c>
      <c r="B329" s="3">
        <f>VLOOKUP("h1-txc"&amp;"-"&amp;A329,[1]flota_lineas_tp!$A$1:$F$65536,6,FALSE)</f>
        <v>3.14</v>
      </c>
      <c r="D329" s="1">
        <v>901</v>
      </c>
      <c r="E329" s="3">
        <f>VLOOKUP("h2-txc"&amp;"-"&amp;D329,[1]flota_lineas_tp!$A$1:$F$65536,6,FALSE)</f>
        <v>22.8</v>
      </c>
      <c r="G329" s="1">
        <v>901</v>
      </c>
      <c r="H329" s="3">
        <f>VLOOKUP("txc"&amp;"-"&amp;G329,[2]flota_lineas_tp!$A$1:$D$2000,4,FALSE)</f>
        <v>19.71</v>
      </c>
      <c r="J329" s="1">
        <v>901</v>
      </c>
      <c r="K329" s="1">
        <f>VLOOKUP("txc"&amp;"-"&amp;J329,[3]flota_lineas_tp!$A$1:$D$2000,4,FALSE)</f>
        <v>5.74</v>
      </c>
      <c r="M329" s="1">
        <v>901</v>
      </c>
    </row>
    <row r="330" spans="1:13" x14ac:dyDescent="0.2">
      <c r="A330" s="1">
        <v>902</v>
      </c>
      <c r="B330" s="3">
        <f>VLOOKUP("h1-txc"&amp;"-"&amp;A330,[1]flota_lineas_tp!$A$1:$F$65536,6,FALSE)</f>
        <v>9.57</v>
      </c>
      <c r="D330" s="1">
        <v>902</v>
      </c>
      <c r="E330" s="3">
        <f>VLOOKUP("h2-txc"&amp;"-"&amp;D330,[1]flota_lineas_tp!$A$1:$F$65536,6,FALSE)</f>
        <v>12.1</v>
      </c>
      <c r="G330" s="1">
        <v>902</v>
      </c>
      <c r="H330" s="3">
        <f>VLOOKUP("txc"&amp;"-"&amp;G330,[2]flota_lineas_tp!$A$1:$D$2000,4,FALSE)</f>
        <v>18.52</v>
      </c>
      <c r="J330" s="1">
        <v>902</v>
      </c>
      <c r="K330" s="1">
        <f>VLOOKUP("txc"&amp;"-"&amp;J330,[3]flota_lineas_tp!$A$1:$D$2000,4,FALSE)</f>
        <v>10.039999999999999</v>
      </c>
      <c r="M330" s="1">
        <v>902</v>
      </c>
    </row>
    <row r="331" spans="1:13" x14ac:dyDescent="0.2">
      <c r="A331" s="1">
        <v>9001</v>
      </c>
      <c r="B331" s="3">
        <f>VLOOKUP("h1-txc"&amp;"-"&amp;A331,[1]flota_lineas_tp!$A$1:$F$65536,6,FALSE)</f>
        <v>0.48</v>
      </c>
      <c r="D331" s="1">
        <v>9001</v>
      </c>
      <c r="E331" s="3">
        <f>VLOOKUP("h2-txc"&amp;"-"&amp;D331,[1]flota_lineas_tp!$A$1:$F$65536,6,FALSE)</f>
        <v>0.91</v>
      </c>
      <c r="G331" s="1">
        <v>9001</v>
      </c>
      <c r="H331" s="3">
        <f>VLOOKUP("txc"&amp;"-"&amp;G331,[2]flota_lineas_tp!$A$1:$D$2000,4,FALSE)</f>
        <v>0.51</v>
      </c>
      <c r="J331" s="1">
        <v>9001</v>
      </c>
      <c r="K331" s="1">
        <f>VLOOKUP("txc"&amp;"-"&amp;J331,[3]flota_lineas_tp!$A$1:$D$2000,4,FALSE)</f>
        <v>6.43</v>
      </c>
      <c r="M331" s="1">
        <v>9001</v>
      </c>
    </row>
    <row r="332" spans="1:13" x14ac:dyDescent="0.2">
      <c r="A332" s="1">
        <v>9002</v>
      </c>
      <c r="B332" s="3">
        <f>VLOOKUP("h1-txc"&amp;"-"&amp;A332,[1]flota_lineas_tp!$A$1:$F$65536,6,FALSE)</f>
        <v>1.0900000000000001</v>
      </c>
      <c r="D332" s="1">
        <v>9002</v>
      </c>
      <c r="E332" s="3">
        <f>VLOOKUP("h2-txc"&amp;"-"&amp;D332,[1]flota_lineas_tp!$A$1:$F$65536,6,FALSE)</f>
        <v>6.62</v>
      </c>
      <c r="G332" s="1">
        <v>9002</v>
      </c>
      <c r="H332" s="3">
        <f>VLOOKUP("txc"&amp;"-"&amp;G332,[2]flota_lineas_tp!$A$1:$D$2000,4,FALSE)</f>
        <v>9.73</v>
      </c>
      <c r="J332" s="1">
        <v>9002</v>
      </c>
      <c r="K332" s="1">
        <f>VLOOKUP("txc"&amp;"-"&amp;J332,[3]flota_lineas_tp!$A$1:$D$2000,4,FALSE)</f>
        <v>4.95</v>
      </c>
      <c r="M332" s="1">
        <v>9002</v>
      </c>
    </row>
    <row r="333" spans="1:13" x14ac:dyDescent="0.2">
      <c r="A333" s="1">
        <v>9211</v>
      </c>
      <c r="B333" s="3">
        <f>VLOOKUP("h1-txc"&amp;"-"&amp;A333,[1]flota_lineas_tp!$A$1:$F$65536,6,FALSE)</f>
        <v>0.3</v>
      </c>
      <c r="D333" s="1">
        <v>9211</v>
      </c>
      <c r="E333" s="3">
        <f>VLOOKUP("h2-txc"&amp;"-"&amp;D333,[1]flota_lineas_tp!$A$1:$F$65536,6,FALSE)</f>
        <v>1.29</v>
      </c>
      <c r="G333" s="1">
        <v>9211</v>
      </c>
      <c r="H333" s="3">
        <f>VLOOKUP("txc"&amp;"-"&amp;G333,[2]flota_lineas_tp!$A$1:$D$2000,4,FALSE)</f>
        <v>1.1399999999999999</v>
      </c>
      <c r="J333" s="1">
        <v>9211</v>
      </c>
      <c r="K333" s="1">
        <f>VLOOKUP("txc"&amp;"-"&amp;J333,[3]flota_lineas_tp!$A$1:$D$2000,4,FALSE)</f>
        <v>3.93</v>
      </c>
      <c r="M333" s="1">
        <v>9211</v>
      </c>
    </row>
    <row r="334" spans="1:13" x14ac:dyDescent="0.2">
      <c r="A334" s="1">
        <v>9212</v>
      </c>
      <c r="B334" s="3">
        <f>VLOOKUP("h1-txc"&amp;"-"&amp;A334,[1]flota_lineas_tp!$A$1:$F$65536,6,FALSE)</f>
        <v>0.92</v>
      </c>
      <c r="D334" s="1">
        <v>9212</v>
      </c>
      <c r="E334" s="3">
        <f>VLOOKUP("h2-txc"&amp;"-"&amp;D334,[1]flota_lineas_tp!$A$1:$F$65536,6,FALSE)</f>
        <v>3.41</v>
      </c>
      <c r="G334" s="1">
        <v>9212</v>
      </c>
      <c r="H334" s="3">
        <f>VLOOKUP("txc"&amp;"-"&amp;G334,[2]flota_lineas_tp!$A$1:$D$2000,4,FALSE)</f>
        <v>2.29</v>
      </c>
      <c r="J334" s="1">
        <v>9212</v>
      </c>
      <c r="K334" s="1">
        <f>VLOOKUP("txc"&amp;"-"&amp;J334,[3]flota_lineas_tp!$A$1:$D$2000,4,FALSE)</f>
        <v>2.0299999999999998</v>
      </c>
      <c r="M334" s="1">
        <v>9212</v>
      </c>
    </row>
    <row r="335" spans="1:13" x14ac:dyDescent="0.2">
      <c r="A335" s="1">
        <v>9201</v>
      </c>
      <c r="B335" s="3">
        <f>VLOOKUP("h1-txc"&amp;"-"&amp;A335,[1]flota_lineas_tp!$A$1:$F$65536,6,FALSE)</f>
        <v>7.0000000000000007E-2</v>
      </c>
      <c r="D335" s="1">
        <v>9201</v>
      </c>
      <c r="E335" s="3">
        <f>VLOOKUP("h2-txc"&amp;"-"&amp;D335,[1]flota_lineas_tp!$A$1:$F$65536,6,FALSE)</f>
        <v>0.31</v>
      </c>
      <c r="G335" s="1">
        <v>9201</v>
      </c>
      <c r="H335" s="3">
        <f>VLOOKUP("txc"&amp;"-"&amp;G335,[2]flota_lineas_tp!$A$1:$D$2000,4,FALSE)</f>
        <v>0.31</v>
      </c>
      <c r="J335" s="1">
        <v>9201</v>
      </c>
      <c r="K335" s="1">
        <f>VLOOKUP("txc"&amp;"-"&amp;J335,[3]flota_lineas_tp!$A$1:$D$2000,4,FALSE)</f>
        <v>0.22</v>
      </c>
      <c r="M335" s="1">
        <v>9201</v>
      </c>
    </row>
    <row r="336" spans="1:13" x14ac:dyDescent="0.2">
      <c r="A336" s="1">
        <v>9202</v>
      </c>
      <c r="B336" s="3">
        <f>VLOOKUP("h1-txc"&amp;"-"&amp;A336,[1]flota_lineas_tp!$A$1:$F$65536,6,FALSE)</f>
        <v>0.64</v>
      </c>
      <c r="D336" s="1">
        <v>9202</v>
      </c>
      <c r="E336" s="3">
        <f>VLOOKUP("h2-txc"&amp;"-"&amp;D336,[1]flota_lineas_tp!$A$1:$F$65536,6,FALSE)</f>
        <v>1.39</v>
      </c>
      <c r="G336" s="1">
        <v>9202</v>
      </c>
      <c r="H336" s="3">
        <f>VLOOKUP("txc"&amp;"-"&amp;G336,[2]flota_lineas_tp!$A$1:$D$2000,4,FALSE)</f>
        <v>0.67</v>
      </c>
      <c r="J336" s="1">
        <v>9202</v>
      </c>
      <c r="K336" s="1">
        <f>VLOOKUP("txc"&amp;"-"&amp;J336,[3]flota_lineas_tp!$A$1:$D$2000,4,FALSE)</f>
        <v>0.13</v>
      </c>
      <c r="M336" s="1">
        <v>9202</v>
      </c>
    </row>
    <row r="337" spans="1:13" x14ac:dyDescent="0.2">
      <c r="A337" s="1">
        <v>9301</v>
      </c>
      <c r="B337" s="3">
        <f>VLOOKUP("h1-txc"&amp;"-"&amp;A337,[1]flota_lineas_tp!$A$1:$F$65536,6,FALSE)</f>
        <v>2.25</v>
      </c>
      <c r="D337" s="1">
        <v>9301</v>
      </c>
      <c r="E337" s="3">
        <f>VLOOKUP("h2-txc"&amp;"-"&amp;D337,[1]flota_lineas_tp!$A$1:$F$65536,6,FALSE)</f>
        <v>43.5</v>
      </c>
      <c r="G337" s="1">
        <v>9301</v>
      </c>
      <c r="H337" s="3">
        <f>VLOOKUP("txc"&amp;"-"&amp;G337,[2]flota_lineas_tp!$A$1:$D$2000,4,FALSE)</f>
        <v>24.76</v>
      </c>
      <c r="J337" s="1">
        <v>9301</v>
      </c>
      <c r="K337" s="1">
        <f>VLOOKUP("txc"&amp;"-"&amp;J337,[3]flota_lineas_tp!$A$1:$D$2000,4,FALSE)</f>
        <v>15.47</v>
      </c>
      <c r="M337" s="1">
        <v>9301</v>
      </c>
    </row>
    <row r="338" spans="1:13" x14ac:dyDescent="0.2">
      <c r="A338" s="1">
        <v>9302</v>
      </c>
      <c r="B338" s="3">
        <f>VLOOKUP("h1-txc"&amp;"-"&amp;A338,[1]flota_lineas_tp!$A$1:$F$65536,6,FALSE)</f>
        <v>8.75</v>
      </c>
      <c r="D338" s="1">
        <v>9302</v>
      </c>
      <c r="E338" s="3">
        <f>VLOOKUP("h2-txc"&amp;"-"&amp;D338,[1]flota_lineas_tp!$A$1:$F$65536,6,FALSE)</f>
        <v>9.84</v>
      </c>
      <c r="G338" s="1">
        <v>9302</v>
      </c>
      <c r="H338" s="3">
        <f>VLOOKUP("txc"&amp;"-"&amp;G338,[2]flota_lineas_tp!$A$1:$D$2000,4,FALSE)</f>
        <v>18.09</v>
      </c>
      <c r="J338" s="1">
        <v>9302</v>
      </c>
      <c r="K338" s="1">
        <f>VLOOKUP("txc"&amp;"-"&amp;J338,[3]flota_lineas_tp!$A$1:$D$2000,4,FALSE)</f>
        <v>6.79</v>
      </c>
      <c r="M338" s="1">
        <v>9302</v>
      </c>
    </row>
    <row r="339" spans="1:13" x14ac:dyDescent="0.2">
      <c r="A339" s="1">
        <v>9401</v>
      </c>
      <c r="B339" s="3">
        <f>VLOOKUP("h1-txc"&amp;"-"&amp;A339,[1]flota_lineas_tp!$A$1:$F$65536,6,FALSE)</f>
        <v>0.37</v>
      </c>
      <c r="D339" s="1">
        <v>9401</v>
      </c>
      <c r="E339" s="3">
        <f>VLOOKUP("h2-txc"&amp;"-"&amp;D339,[1]flota_lineas_tp!$A$1:$F$65536,6,FALSE)</f>
        <v>0.49</v>
      </c>
      <c r="G339" s="1">
        <v>9401</v>
      </c>
      <c r="H339" s="3">
        <f>VLOOKUP("txc"&amp;"-"&amp;G339,[2]flota_lineas_tp!$A$1:$D$2000,4,FALSE)</f>
        <v>0.39</v>
      </c>
      <c r="J339" s="1">
        <v>9401</v>
      </c>
      <c r="K339" s="1">
        <f>VLOOKUP("txc"&amp;"-"&amp;J339,[3]flota_lineas_tp!$A$1:$D$2000,4,FALSE)</f>
        <v>2.66</v>
      </c>
      <c r="M339" s="1">
        <v>9401</v>
      </c>
    </row>
    <row r="340" spans="1:13" x14ac:dyDescent="0.2">
      <c r="A340" s="1">
        <v>9701</v>
      </c>
      <c r="B340" s="3">
        <f>VLOOKUP("h1-txc"&amp;"-"&amp;A340,[1]flota_lineas_tp!$A$1:$F$65536,6,FALSE)</f>
        <v>0.32</v>
      </c>
      <c r="D340" s="1">
        <v>9701</v>
      </c>
      <c r="E340" s="3">
        <f>VLOOKUP("h2-txc"&amp;"-"&amp;D340,[1]flota_lineas_tp!$A$1:$F$65536,6,FALSE)</f>
        <v>0.43</v>
      </c>
      <c r="G340" s="1">
        <v>9701</v>
      </c>
      <c r="H340" s="3">
        <f>VLOOKUP("txc"&amp;"-"&amp;G340,[2]flota_lineas_tp!$A$1:$D$2000,4,FALSE)</f>
        <v>0.34</v>
      </c>
      <c r="J340" s="1">
        <v>9701</v>
      </c>
      <c r="K340" s="1">
        <f>VLOOKUP("txc"&amp;"-"&amp;J340,[3]flota_lineas_tp!$A$1:$D$2000,4,FALSE)</f>
        <v>0.35</v>
      </c>
      <c r="M340" s="1">
        <v>9701</v>
      </c>
    </row>
    <row r="341" spans="1:13" x14ac:dyDescent="0.2">
      <c r="A341" s="1">
        <v>9702</v>
      </c>
      <c r="B341" s="3">
        <f>VLOOKUP("h1-txc"&amp;"-"&amp;A341,[1]flota_lineas_tp!$A$1:$F$65536,6,FALSE)</f>
        <v>7.97</v>
      </c>
      <c r="D341" s="1">
        <v>9702</v>
      </c>
      <c r="E341" s="3">
        <f>VLOOKUP("h2-txc"&amp;"-"&amp;D341,[1]flota_lineas_tp!$A$1:$F$65536,6,FALSE)</f>
        <v>0.41</v>
      </c>
      <c r="G341" s="1">
        <v>9702</v>
      </c>
      <c r="H341" s="3">
        <f>VLOOKUP("txc"&amp;"-"&amp;G341,[2]flota_lineas_tp!$A$1:$D$2000,4,FALSE)</f>
        <v>1.24</v>
      </c>
      <c r="J341" s="1">
        <v>9702</v>
      </c>
      <c r="K341" s="1">
        <f>VLOOKUP("txc"&amp;"-"&amp;J341,[3]flota_lineas_tp!$A$1:$D$2000,4,FALSE)</f>
        <v>0.37</v>
      </c>
      <c r="M341" s="1">
        <v>9702</v>
      </c>
    </row>
    <row r="342" spans="1:13" x14ac:dyDescent="0.2">
      <c r="A342" s="1">
        <v>77712</v>
      </c>
      <c r="B342" s="3">
        <f>VLOOKUP("h1-txc"&amp;"-"&amp;A342,[1]flota_lineas_tp!$A$1:$F$65536,6,FALSE)</f>
        <v>0.36</v>
      </c>
      <c r="D342" s="1">
        <v>77712</v>
      </c>
      <c r="E342" s="3">
        <f>VLOOKUP("h2-txc"&amp;"-"&amp;D342,[1]flota_lineas_tp!$A$1:$F$65536,6,FALSE)</f>
        <v>0.41</v>
      </c>
      <c r="G342" s="1">
        <v>77712</v>
      </c>
      <c r="H342" s="3">
        <f>VLOOKUP("txc"&amp;"-"&amp;G342,[2]flota_lineas_tp!$A$1:$D$2000,4,FALSE)</f>
        <v>3.97</v>
      </c>
      <c r="J342" s="1">
        <v>77712</v>
      </c>
      <c r="K342" s="1">
        <f>VLOOKUP("txc"&amp;"-"&amp;J342,[3]flota_lineas_tp!$A$1:$D$2000,4,FALSE)</f>
        <v>0.99</v>
      </c>
      <c r="M342" s="1">
        <v>77712</v>
      </c>
    </row>
    <row r="343" spans="1:13" x14ac:dyDescent="0.2">
      <c r="A343" s="1">
        <v>77702</v>
      </c>
      <c r="B343" s="3">
        <f>VLOOKUP("h1-txc"&amp;"-"&amp;A343,[1]flota_lineas_tp!$A$1:$F$65536,6,FALSE)</f>
        <v>3.29</v>
      </c>
      <c r="D343" s="1">
        <v>77702</v>
      </c>
      <c r="E343" s="3">
        <f>VLOOKUP("h2-txc"&amp;"-"&amp;D343,[1]flota_lineas_tp!$A$1:$F$65536,6,FALSE)</f>
        <v>1.57</v>
      </c>
      <c r="G343" s="1">
        <v>77702</v>
      </c>
      <c r="H343" s="3">
        <f>VLOOKUP("txc"&amp;"-"&amp;G343,[2]flota_lineas_tp!$A$1:$D$2000,4,FALSE)</f>
        <v>0.7</v>
      </c>
      <c r="J343" s="1">
        <v>77702</v>
      </c>
      <c r="K343" s="1">
        <f>VLOOKUP("txc"&amp;"-"&amp;J343,[3]flota_lineas_tp!$A$1:$D$2000,4,FALSE)</f>
        <v>13.88</v>
      </c>
      <c r="M343" s="1">
        <v>77702</v>
      </c>
    </row>
    <row r="344" spans="1:13" x14ac:dyDescent="0.2">
      <c r="A344" s="1">
        <v>77701</v>
      </c>
      <c r="B344" s="3">
        <f>VLOOKUP("h1-txc"&amp;"-"&amp;A344,[1]flota_lineas_tp!$A$1:$F$65536,6,FALSE)</f>
        <v>6.05</v>
      </c>
      <c r="D344" s="1">
        <v>77701</v>
      </c>
      <c r="E344" s="3">
        <f>VLOOKUP("h2-txc"&amp;"-"&amp;D344,[1]flota_lineas_tp!$A$1:$F$65536,6,FALSE)</f>
        <v>6.64</v>
      </c>
      <c r="G344" s="1">
        <v>77701</v>
      </c>
      <c r="H344" s="3">
        <f>VLOOKUP("txc"&amp;"-"&amp;G344,[2]flota_lineas_tp!$A$1:$D$2000,4,FALSE)</f>
        <v>9.2100000000000009</v>
      </c>
      <c r="J344" s="1">
        <v>77701</v>
      </c>
      <c r="K344" s="1">
        <f>VLOOKUP("txc"&amp;"-"&amp;J344,[3]flota_lineas_tp!$A$1:$D$2000,4,FALSE)</f>
        <v>0.33</v>
      </c>
      <c r="M344" s="1">
        <v>77701</v>
      </c>
    </row>
    <row r="345" spans="1:13" x14ac:dyDescent="0.2">
      <c r="A345" s="1">
        <v>88811</v>
      </c>
      <c r="B345" s="3">
        <f>VLOOKUP("h1-txc"&amp;"-"&amp;A345,[1]flota_lineas_tp!$A$1:$F$65536,6,FALSE)</f>
        <v>0.28999999999999998</v>
      </c>
      <c r="D345" s="1">
        <v>88811</v>
      </c>
      <c r="E345" s="3">
        <f>VLOOKUP("h2-txc"&amp;"-"&amp;D345,[1]flota_lineas_tp!$A$1:$F$65536,6,FALSE)</f>
        <v>0.7</v>
      </c>
      <c r="G345" s="1">
        <v>88811</v>
      </c>
      <c r="H345" s="3">
        <f>VLOOKUP("txc"&amp;"-"&amp;G345,[2]flota_lineas_tp!$A$1:$D$2000,4,FALSE)</f>
        <v>0.72</v>
      </c>
      <c r="J345" s="1">
        <v>88811</v>
      </c>
      <c r="K345" s="1">
        <f>VLOOKUP("txc"&amp;"-"&amp;J345,[3]flota_lineas_tp!$A$1:$D$2000,4,FALSE)</f>
        <v>4.75</v>
      </c>
      <c r="M345" s="1">
        <v>88811</v>
      </c>
    </row>
    <row r="346" spans="1:13" x14ac:dyDescent="0.2">
      <c r="A346" s="1">
        <v>88801</v>
      </c>
      <c r="B346" s="3">
        <f>VLOOKUP("h1-txc"&amp;"-"&amp;A346,[1]flota_lineas_tp!$A$1:$F$65536,6,FALSE)</f>
        <v>0.14000000000000001</v>
      </c>
      <c r="D346" s="1">
        <v>88801</v>
      </c>
      <c r="E346" s="3">
        <f>VLOOKUP("h2-txc"&amp;"-"&amp;D346,[1]flota_lineas_tp!$A$1:$F$65536,6,FALSE)</f>
        <v>0.11</v>
      </c>
      <c r="G346" s="1">
        <v>88801</v>
      </c>
      <c r="H346" s="3">
        <f>VLOOKUP("txc"&amp;"-"&amp;G346,[2]flota_lineas_tp!$A$1:$D$2000,4,FALSE)</f>
        <v>0.6</v>
      </c>
      <c r="J346" s="1">
        <v>88801</v>
      </c>
      <c r="K346" s="1">
        <f>VLOOKUP("txc"&amp;"-"&amp;J346,[3]flota_lineas_tp!$A$1:$D$2000,4,FALSE)</f>
        <v>3.84</v>
      </c>
      <c r="M346" s="1">
        <v>88801</v>
      </c>
    </row>
    <row r="347" spans="1:13" x14ac:dyDescent="0.2">
      <c r="A347" s="1">
        <v>88802</v>
      </c>
      <c r="B347" s="3">
        <f>VLOOKUP("h1-txc"&amp;"-"&amp;A347,[1]flota_lineas_tp!$A$1:$F$65536,6,FALSE)</f>
        <v>0.09</v>
      </c>
      <c r="D347" s="1">
        <v>88802</v>
      </c>
      <c r="E347" s="3">
        <f>VLOOKUP("h2-txc"&amp;"-"&amp;D347,[1]flota_lineas_tp!$A$1:$F$65536,6,FALSE)</f>
        <v>0.11</v>
      </c>
      <c r="G347" s="1">
        <v>88802</v>
      </c>
      <c r="H347" s="3">
        <f>VLOOKUP("txc"&amp;"-"&amp;G347,[2]flota_lineas_tp!$A$1:$D$2000,4,FALSE)</f>
        <v>0.84</v>
      </c>
      <c r="J347" s="1">
        <v>88802</v>
      </c>
      <c r="K347" s="1">
        <f>VLOOKUP("txc"&amp;"-"&amp;J347,[3]flota_lineas_tp!$A$1:$D$2000,4,FALSE)</f>
        <v>1.22</v>
      </c>
      <c r="M347" s="1">
        <v>88802</v>
      </c>
    </row>
    <row r="348" spans="1:13" x14ac:dyDescent="0.2">
      <c r="A348" s="1">
        <v>88812</v>
      </c>
      <c r="B348" s="3">
        <f>VLOOKUP("h1-txc"&amp;"-"&amp;A348,[1]flota_lineas_tp!$A$1:$F$65536,6,FALSE)</f>
        <v>0.11</v>
      </c>
      <c r="D348" s="1">
        <v>88812</v>
      </c>
      <c r="E348" s="3">
        <f>VLOOKUP("h2-txc"&amp;"-"&amp;D348,[1]flota_lineas_tp!$A$1:$F$65536,6,FALSE)</f>
        <v>0.12</v>
      </c>
      <c r="G348" s="1">
        <v>88812</v>
      </c>
      <c r="H348" s="3">
        <f>VLOOKUP("txc"&amp;"-"&amp;G348,[2]flota_lineas_tp!$A$1:$D$2000,4,FALSE)</f>
        <v>1.06</v>
      </c>
      <c r="J348" s="1">
        <v>88812</v>
      </c>
      <c r="K348" s="1">
        <f>VLOOKUP("txc"&amp;"-"&amp;J348,[3]flota_lineas_tp!$A$1:$D$2000,4,FALSE)</f>
        <v>1.96</v>
      </c>
      <c r="M348" s="1">
        <v>88812</v>
      </c>
    </row>
    <row r="349" spans="1:13" x14ac:dyDescent="0.2">
      <c r="A349" s="1">
        <v>99901</v>
      </c>
      <c r="B349" s="3">
        <f>VLOOKUP("h1-txc"&amp;"-"&amp;A349,[1]flota_lineas_tp!$A$1:$F$65536,6,FALSE)</f>
        <v>0.46</v>
      </c>
      <c r="D349" s="1">
        <v>99901</v>
      </c>
      <c r="E349" s="3">
        <f>VLOOKUP("h2-txc"&amp;"-"&amp;D349,[1]flota_lineas_tp!$A$1:$F$65536,6,FALSE)</f>
        <v>2.06</v>
      </c>
      <c r="G349" s="1">
        <v>99901</v>
      </c>
      <c r="H349" s="3">
        <f>VLOOKUP("txc"&amp;"-"&amp;G349,[2]flota_lineas_tp!$A$1:$D$2000,4,FALSE)</f>
        <v>1.8</v>
      </c>
      <c r="J349" s="1">
        <v>99901</v>
      </c>
      <c r="K349" s="1">
        <f>VLOOKUP("txc"&amp;"-"&amp;J349,[3]flota_lineas_tp!$A$1:$D$2000,4,FALSE)</f>
        <v>1.75</v>
      </c>
      <c r="M349" s="1">
        <v>99901</v>
      </c>
    </row>
    <row r="350" spans="1:13" x14ac:dyDescent="0.2">
      <c r="A350" s="1">
        <v>99902</v>
      </c>
      <c r="B350" s="3">
        <f>VLOOKUP("h1-txc"&amp;"-"&amp;A350,[1]flota_lineas_tp!$A$1:$F$65536,6,FALSE)</f>
        <v>1.27</v>
      </c>
      <c r="D350" s="1">
        <v>99902</v>
      </c>
      <c r="E350" s="3">
        <f>VLOOKUP("h2-txc"&amp;"-"&amp;D350,[1]flota_lineas_tp!$A$1:$F$65536,6,FALSE)</f>
        <v>3.15</v>
      </c>
      <c r="G350" s="1">
        <v>99902</v>
      </c>
      <c r="H350" s="3">
        <f>VLOOKUP("txc"&amp;"-"&amp;G350,[2]flota_lineas_tp!$A$1:$D$2000,4,FALSE)</f>
        <v>1.99</v>
      </c>
      <c r="J350" s="1">
        <v>99902</v>
      </c>
      <c r="K350" s="1">
        <f>VLOOKUP("txc"&amp;"-"&amp;J350,[3]flota_lineas_tp!$A$1:$D$2000,4,FALSE)</f>
        <v>1.79</v>
      </c>
      <c r="M350" s="1">
        <v>99902</v>
      </c>
    </row>
    <row r="351" spans="1:13" x14ac:dyDescent="0.2">
      <c r="A351" s="1">
        <v>1421</v>
      </c>
      <c r="B351" s="3">
        <f>VLOOKUP("h1-txc"&amp;"-"&amp;A351,[1]flota_lineas_tp!$A$1:$F$65536,6,FALSE)</f>
        <v>2.12</v>
      </c>
      <c r="D351" s="1">
        <v>1421</v>
      </c>
      <c r="E351" s="3">
        <f>VLOOKUP("h2-txc"&amp;"-"&amp;D351,[1]flota_lineas_tp!$A$1:$F$65536,6,FALSE)</f>
        <v>3.76</v>
      </c>
      <c r="G351" s="1">
        <v>1421</v>
      </c>
      <c r="H351" s="3">
        <f>VLOOKUP("txc"&amp;"-"&amp;G351,[2]flota_lineas_tp!$A$1:$D$2000,4,FALSE)</f>
        <v>3.87</v>
      </c>
      <c r="J351" s="1">
        <v>1421</v>
      </c>
      <c r="K351" s="1">
        <f>VLOOKUP("txc"&amp;"-"&amp;J351,[3]flota_lineas_tp!$A$1:$D$2000,4,FALSE)</f>
        <v>8.7899999999999991</v>
      </c>
      <c r="M351" s="1">
        <v>1421</v>
      </c>
    </row>
    <row r="352" spans="1:13" x14ac:dyDescent="0.2">
      <c r="A352" s="1">
        <v>801</v>
      </c>
      <c r="B352" s="3">
        <f>VLOOKUP("h1-txc"&amp;"-"&amp;A352,[1]flota_lineas_tp!$A$1:$F$65536,6,FALSE)</f>
        <v>1.82</v>
      </c>
      <c r="D352" s="1">
        <v>801</v>
      </c>
      <c r="E352" s="3">
        <f>VLOOKUP("h2-txc"&amp;"-"&amp;D352,[1]flota_lineas_tp!$A$1:$F$65536,6,FALSE)</f>
        <v>0.26</v>
      </c>
      <c r="G352" s="1">
        <v>801</v>
      </c>
      <c r="H352" s="3">
        <f>VLOOKUP("txc"&amp;"-"&amp;G352,[2]flota_lineas_tp!$A$1:$D$2000,4,FALSE)</f>
        <v>5.66</v>
      </c>
      <c r="J352" s="1">
        <v>801</v>
      </c>
      <c r="K352" s="1">
        <f>VLOOKUP("txc"&amp;"-"&amp;J352,[3]flota_lineas_tp!$A$1:$D$2000,4,FALSE)</f>
        <v>0.22</v>
      </c>
      <c r="M352" s="1">
        <v>801</v>
      </c>
    </row>
    <row r="353" spans="1:13" x14ac:dyDescent="0.2">
      <c r="A353" s="1">
        <v>77711</v>
      </c>
      <c r="B353" s="3">
        <f>VLOOKUP("h1-txc"&amp;"-"&amp;A353,[1]flota_lineas_tp!$A$1:$F$65536,6,FALSE)</f>
        <v>0.36</v>
      </c>
      <c r="D353" s="1">
        <v>77711</v>
      </c>
      <c r="E353" s="3">
        <f>VLOOKUP("h2-txc"&amp;"-"&amp;D353,[1]flota_lineas_tp!$A$1:$F$65536,6,FALSE)</f>
        <v>0.39</v>
      </c>
      <c r="G353" s="1">
        <v>77711</v>
      </c>
      <c r="H353" s="3">
        <f>VLOOKUP("txc"&amp;"-"&amp;G353,[2]flota_lineas_tp!$A$1:$D$2000,4,FALSE)</f>
        <v>3.45</v>
      </c>
      <c r="J353" s="1">
        <v>77711</v>
      </c>
      <c r="K353" s="1">
        <f>VLOOKUP("txc"&amp;"-"&amp;J353,[3]flota_lineas_tp!$A$1:$D$2000,4,FALSE)</f>
        <v>0.36</v>
      </c>
      <c r="M353" s="1">
        <v>77711</v>
      </c>
    </row>
    <row r="354" spans="1:13" x14ac:dyDescent="0.2">
      <c r="A354" s="1">
        <v>312</v>
      </c>
      <c r="B354" s="3">
        <f>VLOOKUP("h1-txc"&amp;"-"&amp;A354,[1]flota_lineas_tp!$A$1:$F$65536,6,FALSE)</f>
        <v>8.39</v>
      </c>
      <c r="D354" s="1">
        <v>312</v>
      </c>
      <c r="E354" s="3">
        <f>VLOOKUP("h2-txc"&amp;"-"&amp;D354,[1]flota_lineas_tp!$A$1:$F$65536,6,FALSE)</f>
        <v>15.43</v>
      </c>
      <c r="G354" s="1">
        <v>312</v>
      </c>
      <c r="H354" s="3">
        <f>VLOOKUP("txc"&amp;"-"&amp;G354,[2]flota_lineas_tp!$A$1:$D$2000,4,FALSE)</f>
        <v>11.87</v>
      </c>
      <c r="J354" s="1">
        <v>312</v>
      </c>
      <c r="K354" s="1">
        <f>VLOOKUP("txc"&amp;"-"&amp;J354,[3]flota_lineas_tp!$A$1:$D$2000,4,FALSE)</f>
        <v>7.75</v>
      </c>
      <c r="M354" s="1">
        <v>312</v>
      </c>
    </row>
    <row r="355" spans="1:13" x14ac:dyDescent="0.2">
      <c r="A355" s="1">
        <v>9402</v>
      </c>
      <c r="B355" s="3">
        <f>VLOOKUP("h1-txc"&amp;"-"&amp;A355,[1]flota_lineas_tp!$A$1:$F$65536,6,FALSE)</f>
        <v>0.39</v>
      </c>
      <c r="D355" s="1">
        <v>9402</v>
      </c>
      <c r="E355" s="3">
        <f>VLOOKUP("h2-txc"&amp;"-"&amp;D355,[1]flota_lineas_tp!$A$1:$F$65536,6,FALSE)</f>
        <v>0.59</v>
      </c>
      <c r="G355" s="1">
        <v>9402</v>
      </c>
      <c r="H355" s="3">
        <f>VLOOKUP("txc"&amp;"-"&amp;G355,[2]flota_lineas_tp!$A$1:$D$2000,4,FALSE)</f>
        <v>0.4</v>
      </c>
      <c r="J355" s="1">
        <v>9402</v>
      </c>
      <c r="K355" s="1">
        <f>VLOOKUP("txc"&amp;"-"&amp;J355,[3]flota_lineas_tp!$A$1:$D$2000,4,FALSE)</f>
        <v>0.4</v>
      </c>
      <c r="M355" s="1">
        <v>9402</v>
      </c>
    </row>
    <row r="356" spans="1:13" x14ac:dyDescent="0.2">
      <c r="A356" s="1">
        <v>8702</v>
      </c>
      <c r="B356" s="3">
        <f>VLOOKUP("h1-txc"&amp;"-"&amp;A356,[1]flota_lineas_tp!$A$1:$F$65536,6,FALSE)</f>
        <v>2.82</v>
      </c>
      <c r="D356" s="1">
        <v>8702</v>
      </c>
      <c r="E356" s="3">
        <f>VLOOKUP("h2-txc"&amp;"-"&amp;D356,[1]flota_lineas_tp!$A$1:$F$65536,6,FALSE)</f>
        <v>21.02</v>
      </c>
      <c r="G356" s="1">
        <v>8702</v>
      </c>
      <c r="H356" s="3">
        <f>VLOOKUP("txc"&amp;"-"&amp;G356,[2]flota_lineas_tp!$A$1:$D$2000,4,FALSE)</f>
        <v>9.19</v>
      </c>
      <c r="J356" s="1">
        <v>8702</v>
      </c>
      <c r="K356" s="1">
        <f>VLOOKUP("txc"&amp;"-"&amp;J356,[3]flota_lineas_tp!$A$1:$D$2000,4,FALSE)</f>
        <v>14.81</v>
      </c>
      <c r="M356" s="1">
        <v>8702</v>
      </c>
    </row>
    <row r="357" spans="1:13" x14ac:dyDescent="0.2">
      <c r="A357" s="7">
        <v>211</v>
      </c>
      <c r="B357" s="3">
        <f>VLOOKUP("h1-txc"&amp;"-"&amp;A357,[1]flota_lineas_tp!$A$1:$F$65536,6,FALSE)</f>
        <v>0.96</v>
      </c>
      <c r="D357" s="7">
        <v>211</v>
      </c>
      <c r="E357" s="3">
        <f>VLOOKUP("h2-txc"&amp;"-"&amp;D357,[1]flota_lineas_tp!$A$1:$F$65536,6,FALSE)</f>
        <v>3.1</v>
      </c>
      <c r="G357" s="7">
        <v>211</v>
      </c>
      <c r="H357" s="3">
        <f>VLOOKUP("txc"&amp;"-"&amp;G357,[2]flota_lineas_tp!$A$1:$D$2000,4,FALSE)</f>
        <v>0.42</v>
      </c>
      <c r="J357" s="7">
        <v>211</v>
      </c>
      <c r="K357" s="1">
        <f>VLOOKUP("txc"&amp;"-"&amp;J357,[3]flota_lineas_tp!$A$1:$D$2000,4,FALSE)</f>
        <v>0.46</v>
      </c>
    </row>
    <row r="358" spans="1:13" x14ac:dyDescent="0.2">
      <c r="A358" s="7">
        <v>212</v>
      </c>
      <c r="B358" s="3">
        <f>VLOOKUP("h1-txc"&amp;"-"&amp;A358,[1]flota_lineas_tp!$A$1:$F$65536,6,FALSE)</f>
        <v>0.31</v>
      </c>
      <c r="D358" s="7">
        <v>212</v>
      </c>
      <c r="E358" s="3">
        <f>VLOOKUP("h2-txc"&amp;"-"&amp;D358,[1]flota_lineas_tp!$A$1:$F$65536,6,FALSE)</f>
        <v>0.46</v>
      </c>
      <c r="G358" s="7">
        <v>212</v>
      </c>
      <c r="H358" s="3">
        <f>VLOOKUP("txc"&amp;"-"&amp;G358,[2]flota_lineas_tp!$A$1:$D$2000,4,FALSE)</f>
        <v>1.98</v>
      </c>
      <c r="J358" s="7">
        <v>212</v>
      </c>
      <c r="K358" s="1">
        <f>VLOOKUP("txc"&amp;"-"&amp;J358,[3]flota_lineas_tp!$A$1:$D$2000,4,FALSE)</f>
        <v>5.95</v>
      </c>
    </row>
    <row r="359" spans="1:13" x14ac:dyDescent="0.2">
      <c r="A359" s="7">
        <v>25021</v>
      </c>
      <c r="B359" s="3">
        <f>VLOOKUP("h1-txc"&amp;"-"&amp;A359,[1]flota_lineas_tp!$A$1:$F$65536,6,FALSE)</f>
        <v>0.67</v>
      </c>
      <c r="D359" s="7">
        <v>25021</v>
      </c>
      <c r="E359" s="3">
        <f>VLOOKUP("h2-txc"&amp;"-"&amp;D359,[1]flota_lineas_tp!$A$1:$F$65536,6,FALSE)</f>
        <v>1.01</v>
      </c>
      <c r="G359" s="7">
        <v>25021</v>
      </c>
      <c r="H359" s="3">
        <f>VLOOKUP("txc"&amp;"-"&amp;G359,[2]flota_lineas_tp!$A$1:$D$2000,4,FALSE)</f>
        <v>0.3</v>
      </c>
      <c r="J359" s="7">
        <v>25021</v>
      </c>
      <c r="K359" s="1">
        <f>VLOOKUP("txc"&amp;"-"&amp;J359,[3]flota_lineas_tp!$A$1:$D$2000,4,FALSE)</f>
        <v>0.33</v>
      </c>
    </row>
    <row r="360" spans="1:13" x14ac:dyDescent="0.2">
      <c r="A360" s="7">
        <v>25031</v>
      </c>
      <c r="B360" s="3">
        <f>VLOOKUP("h1-txc"&amp;"-"&amp;A360,[1]flota_lineas_tp!$A$1:$F$65536,6,FALSE)</f>
        <v>0.18</v>
      </c>
      <c r="D360" s="7">
        <v>25031</v>
      </c>
      <c r="E360" s="3">
        <f>VLOOKUP("h2-txc"&amp;"-"&amp;D360,[1]flota_lineas_tp!$A$1:$F$65536,6,FALSE)</f>
        <v>0.23</v>
      </c>
      <c r="G360" s="7">
        <v>25031</v>
      </c>
      <c r="H360" s="3">
        <f>VLOOKUP("txc"&amp;"-"&amp;G360,[2]flota_lineas_tp!$A$1:$D$2000,4,FALSE)</f>
        <v>0.19</v>
      </c>
      <c r="J360" s="7">
        <v>25031</v>
      </c>
      <c r="K360" s="1">
        <f>VLOOKUP("txc"&amp;"-"&amp;J360,[3]flota_lineas_tp!$A$1:$D$2000,4,FALSE)</f>
        <v>2.71</v>
      </c>
    </row>
    <row r="361" spans="1:13" x14ac:dyDescent="0.2">
      <c r="A361" s="7">
        <v>4932</v>
      </c>
      <c r="B361" s="3">
        <f>VLOOKUP("h1-txc"&amp;"-"&amp;A361,[1]flota_lineas_tp!$A$1:$F$65536,6,FALSE)</f>
        <v>0.82</v>
      </c>
      <c r="D361" s="7">
        <v>4932</v>
      </c>
      <c r="E361" s="3">
        <f>VLOOKUP("h2-txc"&amp;"-"&amp;D361,[1]flota_lineas_tp!$A$1:$F$65536,6,FALSE)</f>
        <v>0.14000000000000001</v>
      </c>
      <c r="G361" s="7">
        <v>4932</v>
      </c>
      <c r="H361" s="3">
        <f>VLOOKUP("txc"&amp;"-"&amp;G361,[2]flota_lineas_tp!$A$1:$D$2000,4,FALSE)</f>
        <v>0.13</v>
      </c>
      <c r="J361" s="7">
        <v>4932</v>
      </c>
      <c r="K361" s="1">
        <f>VLOOKUP("txc"&amp;"-"&amp;J361,[3]flota_lineas_tp!$A$1:$D$2000,4,FALSE)</f>
        <v>0.14000000000000001</v>
      </c>
    </row>
    <row r="362" spans="1:13" x14ac:dyDescent="0.2">
      <c r="A362" s="7">
        <v>7732</v>
      </c>
      <c r="B362" s="3">
        <f>VLOOKUP("h1-txc"&amp;"-"&amp;A362,[1]flota_lineas_tp!$A$1:$F$65536,6,FALSE)</f>
        <v>0.18</v>
      </c>
      <c r="D362" s="7">
        <v>7732</v>
      </c>
      <c r="E362" s="3">
        <f>VLOOKUP("h2-txc"&amp;"-"&amp;D362,[1]flota_lineas_tp!$A$1:$F$65536,6,FALSE)</f>
        <v>4.0599999999999996</v>
      </c>
      <c r="G362" s="7">
        <v>7732</v>
      </c>
      <c r="H362" s="3">
        <f>VLOOKUP("txc"&amp;"-"&amp;G362,[2]flota_lineas_tp!$A$1:$D$2000,4,FALSE)</f>
        <v>0.19</v>
      </c>
      <c r="J362" s="7">
        <v>7732</v>
      </c>
      <c r="K362" s="1">
        <f>VLOOKUP("txc"&amp;"-"&amp;J362,[3]flota_lineas_tp!$A$1:$D$2000,4,FALSE)</f>
        <v>0.21</v>
      </c>
    </row>
    <row r="363" spans="1:13" x14ac:dyDescent="0.2">
      <c r="A363" s="7">
        <v>752</v>
      </c>
      <c r="B363" s="3">
        <f>VLOOKUP("h1-txc"&amp;"-"&amp;A363,[1]flota_lineas_tp!$A$1:$F$65536,6,FALSE)</f>
        <v>0.17</v>
      </c>
      <c r="D363" s="7">
        <v>752</v>
      </c>
      <c r="E363" s="3">
        <f>VLOOKUP("h2-txc"&amp;"-"&amp;D363,[1]flota_lineas_tp!$A$1:$F$65536,6,FALSE)</f>
        <v>1.68</v>
      </c>
      <c r="G363" s="7">
        <v>752</v>
      </c>
      <c r="H363" s="3">
        <f>VLOOKUP("txc"&amp;"-"&amp;G363,[2]flota_lineas_tp!$A$1:$D$2000,4,FALSE)</f>
        <v>0.45</v>
      </c>
      <c r="J363" s="7">
        <v>752</v>
      </c>
      <c r="K363" s="1">
        <f>VLOOKUP("txc"&amp;"-"&amp;J363,[3]flota_lineas_tp!$A$1:$D$2000,4,FALSE)</f>
        <v>0.76</v>
      </c>
    </row>
  </sheetData>
  <mergeCells count="5">
    <mergeCell ref="D1:E1"/>
    <mergeCell ref="A1:B1"/>
    <mergeCell ref="G1:H1"/>
    <mergeCell ref="J1:K1"/>
    <mergeCell ref="M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>
      <selection activeCell="A2" sqref="A1:P1048576"/>
    </sheetView>
  </sheetViews>
  <sheetFormatPr baseColWidth="10" defaultRowHeight="12" x14ac:dyDescent="0.2"/>
  <cols>
    <col min="1" max="16384" width="11.42578125" style="1"/>
  </cols>
  <sheetData>
    <row r="1" ht="15" customHeight="1" x14ac:dyDescent="0.2"/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C2:I25"/>
  <sheetViews>
    <sheetView tabSelected="1" workbookViewId="0">
      <selection activeCell="M18" sqref="M18"/>
    </sheetView>
  </sheetViews>
  <sheetFormatPr baseColWidth="10" defaultRowHeight="12" x14ac:dyDescent="0.2"/>
  <cols>
    <col min="1" max="2" width="11.42578125" style="1"/>
    <col min="3" max="3" width="9.140625" style="1" customWidth="1"/>
    <col min="4" max="4" width="12.85546875" style="1" customWidth="1"/>
    <col min="5" max="8" width="6.28515625" style="1" customWidth="1"/>
    <col min="9" max="9" width="17" style="1" customWidth="1"/>
    <col min="10" max="16384" width="11.42578125" style="1"/>
  </cols>
  <sheetData>
    <row r="2" spans="3:8" x14ac:dyDescent="0.2"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</row>
    <row r="3" spans="3:8" x14ac:dyDescent="0.2">
      <c r="C3" s="1" t="s">
        <v>12</v>
      </c>
      <c r="D3" s="3">
        <f>+SUM(bus!B3:B206)</f>
        <v>909.73000000000025</v>
      </c>
      <c r="E3" s="3">
        <f>+SUM(bus!E3:E206)</f>
        <v>1416.8199999999995</v>
      </c>
      <c r="F3" s="3">
        <f>+SUM(bus!H3:H206)</f>
        <v>1027.6700000000005</v>
      </c>
      <c r="G3" s="3">
        <f>+SUM(bus!K3:K206)</f>
        <v>1139.8599999999994</v>
      </c>
      <c r="H3" s="3">
        <f>+SUM(bus!N3:N206)</f>
        <v>0</v>
      </c>
    </row>
    <row r="4" spans="3:8" x14ac:dyDescent="0.2">
      <c r="C4" s="1" t="s">
        <v>13</v>
      </c>
      <c r="D4" s="3">
        <f>+SUM(bus!B207:B208)</f>
        <v>4.13</v>
      </c>
      <c r="E4" s="3">
        <f>+SUM(bus!E207:E208)</f>
        <v>5.98</v>
      </c>
      <c r="F4" s="3">
        <f>+SUM(bus!H207:H208)</f>
        <v>6.15</v>
      </c>
      <c r="G4" s="3">
        <f>+SUM(bus!K207:K208)</f>
        <v>6.3900000000000006</v>
      </c>
      <c r="H4" s="3">
        <f>+SUM(bus!N207:N208)</f>
        <v>0</v>
      </c>
    </row>
    <row r="5" spans="3:8" x14ac:dyDescent="0.2">
      <c r="C5" s="1" t="s">
        <v>14</v>
      </c>
      <c r="D5" s="3">
        <f>+SUM(bus!B209:B224)</f>
        <v>1.8</v>
      </c>
      <c r="E5" s="3">
        <f>+SUM(bus!E209:E224)</f>
        <v>1.8</v>
      </c>
      <c r="F5" s="3">
        <f>+SUM(bus!H209:H224)</f>
        <v>1.2200000000000002</v>
      </c>
      <c r="G5" s="3">
        <f>+SUM(bus!K209:K224)</f>
        <v>1.8</v>
      </c>
      <c r="H5" s="3">
        <f>+SUM(bus!N209:N224)</f>
        <v>0</v>
      </c>
    </row>
    <row r="6" spans="3:8" x14ac:dyDescent="0.2">
      <c r="C6" s="1" t="s">
        <v>15</v>
      </c>
      <c r="D6" s="3">
        <f>+SUM(txc!B3:B400)</f>
        <v>900.29</v>
      </c>
      <c r="E6" s="3">
        <f>+SUM(txc!E3:E400)</f>
        <v>2215.12</v>
      </c>
      <c r="F6" s="3">
        <f>+SUM(txc!H3:H400)</f>
        <v>1184.5600000000002</v>
      </c>
      <c r="G6" s="3">
        <f>+SUM(txc!K3:K400)</f>
        <v>1744.4300000000007</v>
      </c>
      <c r="H6" s="3">
        <f>+SUM(txc!N3:N356)</f>
        <v>0</v>
      </c>
    </row>
    <row r="7" spans="3:8" x14ac:dyDescent="0.2">
      <c r="D7" s="3"/>
      <c r="E7" s="3"/>
      <c r="F7" s="3"/>
      <c r="G7" s="3"/>
      <c r="H7" s="3"/>
    </row>
    <row r="8" spans="3:8" x14ac:dyDescent="0.2">
      <c r="D8" s="3"/>
      <c r="E8" s="3"/>
      <c r="F8" s="3"/>
      <c r="G8" s="3"/>
      <c r="H8" s="3"/>
    </row>
    <row r="9" spans="3:8" x14ac:dyDescent="0.2">
      <c r="D9" s="3"/>
      <c r="E9" s="3"/>
      <c r="F9" s="3"/>
      <c r="G9" s="3"/>
      <c r="H9" s="3"/>
    </row>
    <row r="10" spans="3:8" x14ac:dyDescent="0.2">
      <c r="D10" s="3"/>
      <c r="E10" s="3"/>
      <c r="F10" s="3"/>
      <c r="G10" s="3"/>
      <c r="H10" s="3"/>
    </row>
    <row r="15" spans="3:8" x14ac:dyDescent="0.2">
      <c r="C15" s="1" t="s">
        <v>12</v>
      </c>
      <c r="D15" s="1">
        <f>+[4]empresas!$G$11</f>
        <v>2084</v>
      </c>
    </row>
    <row r="16" spans="3:8" x14ac:dyDescent="0.2">
      <c r="C16" s="1" t="s">
        <v>13</v>
      </c>
      <c r="D16" s="1">
        <f>+[4]empresas!$F$13</f>
        <v>21</v>
      </c>
    </row>
    <row r="17" spans="3:9" x14ac:dyDescent="0.2">
      <c r="C17" s="1" t="s">
        <v>14</v>
      </c>
    </row>
    <row r="18" spans="3:9" x14ac:dyDescent="0.2">
      <c r="C18" s="1" t="s">
        <v>15</v>
      </c>
      <c r="D18" s="1">
        <f>+[5]Empresas_lineas!$H$180</f>
        <v>4993</v>
      </c>
    </row>
    <row r="21" spans="3:9" x14ac:dyDescent="0.2">
      <c r="C21" s="11" t="s">
        <v>19</v>
      </c>
      <c r="D21" s="11" t="s">
        <v>21</v>
      </c>
      <c r="E21" s="11" t="s">
        <v>22</v>
      </c>
      <c r="F21" s="11"/>
      <c r="G21" s="11"/>
      <c r="H21" s="11"/>
      <c r="I21" s="8"/>
    </row>
    <row r="22" spans="3:9" ht="12" customHeight="1" x14ac:dyDescent="0.2">
      <c r="C22" s="11"/>
      <c r="D22" s="11"/>
      <c r="E22" s="5" t="s">
        <v>7</v>
      </c>
      <c r="F22" s="5" t="s">
        <v>8</v>
      </c>
      <c r="G22" s="5" t="s">
        <v>9</v>
      </c>
      <c r="H22" s="5" t="s">
        <v>18</v>
      </c>
      <c r="I22" s="9"/>
    </row>
    <row r="23" spans="3:9" x14ac:dyDescent="0.2">
      <c r="C23" s="4" t="s">
        <v>20</v>
      </c>
      <c r="D23" s="6">
        <f>+D15</f>
        <v>2084</v>
      </c>
      <c r="E23" s="6">
        <f>+D3</f>
        <v>909.73000000000025</v>
      </c>
      <c r="F23" s="6">
        <f t="shared" ref="F23:H23" si="0">+E3</f>
        <v>1416.8199999999995</v>
      </c>
      <c r="G23" s="6">
        <f t="shared" si="0"/>
        <v>1027.6700000000005</v>
      </c>
      <c r="H23" s="6">
        <f t="shared" si="0"/>
        <v>1139.8599999999994</v>
      </c>
      <c r="I23" s="6"/>
    </row>
    <row r="24" spans="3:9" x14ac:dyDescent="0.2">
      <c r="C24" s="4" t="s">
        <v>16</v>
      </c>
      <c r="D24" s="6">
        <f>+D16</f>
        <v>21</v>
      </c>
      <c r="E24" s="6">
        <f>+D4</f>
        <v>4.13</v>
      </c>
      <c r="F24" s="6">
        <f t="shared" ref="F24:G24" si="1">+E4</f>
        <v>5.98</v>
      </c>
      <c r="G24" s="6">
        <f t="shared" si="1"/>
        <v>6.15</v>
      </c>
      <c r="H24" s="6">
        <f t="shared" ref="H24" si="2">+G4</f>
        <v>6.3900000000000006</v>
      </c>
      <c r="I24" s="6"/>
    </row>
    <row r="25" spans="3:9" x14ac:dyDescent="0.2">
      <c r="C25" s="4" t="s">
        <v>17</v>
      </c>
      <c r="D25" s="6">
        <f>+D18</f>
        <v>4993</v>
      </c>
      <c r="E25" s="6">
        <f>+D6</f>
        <v>900.29</v>
      </c>
      <c r="F25" s="6">
        <f t="shared" ref="F25:G25" si="3">+E6</f>
        <v>2215.12</v>
      </c>
      <c r="G25" s="6">
        <f t="shared" si="3"/>
        <v>1184.5600000000002</v>
      </c>
      <c r="H25" s="6">
        <f t="shared" ref="H25" si="4">+G6</f>
        <v>1744.4300000000007</v>
      </c>
      <c r="I25" s="6"/>
    </row>
  </sheetData>
  <mergeCells count="3">
    <mergeCell ref="D21:D22"/>
    <mergeCell ref="E21:H21"/>
    <mergeCell ref="C21:C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bus</vt:lpstr>
      <vt:lpstr>txc</vt:lpstr>
      <vt:lpstr>mer</vt:lpstr>
      <vt:lpstr>Resumen</vt:lpstr>
    </vt:vector>
  </TitlesOfParts>
  <Company>Trasa Ingeniería Ltda.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Javiera Olguín V.</dc:creator>
  <cp:lastModifiedBy>Javiera Olguín V.</cp:lastModifiedBy>
  <cp:lastPrinted>2013-10-21T13:56:25Z</cp:lastPrinted>
  <dcterms:created xsi:type="dcterms:W3CDTF">2013-09-17T13:17:58Z</dcterms:created>
  <dcterms:modified xsi:type="dcterms:W3CDTF">2017-06-12T15:14:54Z</dcterms:modified>
</cp:coreProperties>
</file>